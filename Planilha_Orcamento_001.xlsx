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0F50727F-67E3-4004-819B-D413BDBBC8D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1. BRIEFING" sheetId="1" r:id="rId1"/>
    <sheet name="2. LEV QNT" sheetId="2" r:id="rId2"/>
    <sheet name="3. CPU" sheetId="3" r:id="rId3"/>
    <sheet name="4. PLAN ORÇA" sheetId="4" r:id="rId4"/>
    <sheet name="4. CUSTO IND" sheetId="5" r:id="rId5"/>
    <sheet name="DIM EQP" sheetId="6" r:id="rId6"/>
    <sheet name="0. P. VENDA" sheetId="7" state="hidden" r:id="rId7"/>
    <sheet name="PLANEJ FIN" sheetId="8" state="hidden" r:id="rId8"/>
  </sheets>
  <externalReferences>
    <externalReference r:id="rId9"/>
  </externalReferenc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8" l="1"/>
  <c r="F21" i="8"/>
  <c r="H20" i="8"/>
  <c r="F20" i="8"/>
  <c r="H18" i="8"/>
  <c r="F18" i="8"/>
  <c r="L16" i="8"/>
  <c r="H16" i="8" s="1"/>
  <c r="J16" i="8"/>
  <c r="L15" i="8"/>
  <c r="F15" i="8" s="1"/>
  <c r="J15" i="8"/>
  <c r="H15" i="8"/>
  <c r="L13" i="8"/>
  <c r="J13" i="8"/>
  <c r="H13" i="8"/>
  <c r="D13" i="8"/>
  <c r="L12" i="8"/>
  <c r="J12" i="8"/>
  <c r="H12" i="8"/>
  <c r="D12" i="8"/>
  <c r="L10" i="8"/>
  <c r="F10" i="8" s="1"/>
  <c r="K10" i="8"/>
  <c r="J10" i="8"/>
  <c r="K8" i="8"/>
  <c r="L8" i="8" s="1"/>
  <c r="J8" i="8"/>
  <c r="L6" i="8"/>
  <c r="K6" i="8"/>
  <c r="K21" i="8" s="1"/>
  <c r="J6" i="8"/>
  <c r="D6" i="8"/>
  <c r="D18" i="8" s="1"/>
  <c r="C22" i="7"/>
  <c r="C25" i="7" s="1"/>
  <c r="J8" i="7"/>
  <c r="AA107" i="6"/>
  <c r="Y107" i="6"/>
  <c r="W107" i="6"/>
  <c r="T107" i="6"/>
  <c r="P107" i="6"/>
  <c r="R107" i="6" s="1"/>
  <c r="AA106" i="6"/>
  <c r="R106" i="6"/>
  <c r="P106" i="6"/>
  <c r="AA105" i="6"/>
  <c r="P105" i="6"/>
  <c r="R105" i="6" s="1"/>
  <c r="AA104" i="6"/>
  <c r="W104" i="6"/>
  <c r="V104" i="6"/>
  <c r="U104" i="6"/>
  <c r="R104" i="6"/>
  <c r="P104" i="6"/>
  <c r="AA103" i="6"/>
  <c r="X103" i="6"/>
  <c r="W103" i="6"/>
  <c r="U103" i="6"/>
  <c r="S103" i="6"/>
  <c r="R103" i="6"/>
  <c r="P103" i="6"/>
  <c r="AA102" i="6"/>
  <c r="P102" i="6" s="1"/>
  <c r="R102" i="6" s="1"/>
  <c r="X102" i="6"/>
  <c r="V102" i="6"/>
  <c r="U102" i="6"/>
  <c r="T102" i="6"/>
  <c r="S102" i="6"/>
  <c r="AA101" i="6"/>
  <c r="P101" i="6" s="1"/>
  <c r="R101" i="6" s="1"/>
  <c r="Y101" i="6"/>
  <c r="W101" i="6"/>
  <c r="V101" i="6"/>
  <c r="U101" i="6"/>
  <c r="S101" i="6"/>
  <c r="AA100" i="6"/>
  <c r="Z100" i="6"/>
  <c r="T100" i="6"/>
  <c r="S100" i="6"/>
  <c r="P100" i="6"/>
  <c r="R100" i="6" s="1"/>
  <c r="AA99" i="6"/>
  <c r="P99" i="6" s="1"/>
  <c r="R99" i="6" s="1"/>
  <c r="Y99" i="6"/>
  <c r="W99" i="6"/>
  <c r="AA98" i="6"/>
  <c r="Z98" i="6"/>
  <c r="Y98" i="6"/>
  <c r="X98" i="6"/>
  <c r="P98" i="6"/>
  <c r="R98" i="6" s="1"/>
  <c r="AA97" i="6"/>
  <c r="P97" i="6" s="1"/>
  <c r="Y97" i="6"/>
  <c r="W97" i="6"/>
  <c r="U97" i="6"/>
  <c r="R97" i="6"/>
  <c r="AA96" i="6"/>
  <c r="R96" i="6"/>
  <c r="P96" i="6"/>
  <c r="AA95" i="6"/>
  <c r="Z95" i="6"/>
  <c r="Y95" i="6"/>
  <c r="R95" i="6"/>
  <c r="P95" i="6"/>
  <c r="AA94" i="6"/>
  <c r="P94" i="6" s="1"/>
  <c r="R94" i="6" s="1"/>
  <c r="U94" i="6"/>
  <c r="T94" i="6"/>
  <c r="S94" i="6"/>
  <c r="AA93" i="6"/>
  <c r="Y93" i="6"/>
  <c r="V93" i="6"/>
  <c r="P93" i="6"/>
  <c r="R93" i="6" s="1"/>
  <c r="AA92" i="6"/>
  <c r="P92" i="6" s="1"/>
  <c r="R92" i="6" s="1"/>
  <c r="Z92" i="6"/>
  <c r="S92" i="6"/>
  <c r="AA91" i="6"/>
  <c r="P91" i="6" s="1"/>
  <c r="R91" i="6" s="1"/>
  <c r="V91" i="6"/>
  <c r="AA90" i="6"/>
  <c r="W90" i="6"/>
  <c r="V90" i="6"/>
  <c r="T90" i="6"/>
  <c r="R90" i="6"/>
  <c r="P90" i="6"/>
  <c r="AA89" i="6"/>
  <c r="T89" i="6"/>
  <c r="S89" i="6"/>
  <c r="R89" i="6"/>
  <c r="P89" i="6"/>
  <c r="AA88" i="6"/>
  <c r="Z88" i="6"/>
  <c r="X88" i="6"/>
  <c r="W88" i="6"/>
  <c r="V88" i="6"/>
  <c r="U88" i="6"/>
  <c r="T88" i="6"/>
  <c r="R88" i="6"/>
  <c r="P88" i="6"/>
  <c r="AA87" i="6"/>
  <c r="Z87" i="6"/>
  <c r="X87" i="6"/>
  <c r="W87" i="6"/>
  <c r="U87" i="6"/>
  <c r="P87" i="6"/>
  <c r="R87" i="6" s="1"/>
  <c r="AA86" i="6"/>
  <c r="P86" i="6" s="1"/>
  <c r="U86" i="6"/>
  <c r="R86" i="6"/>
  <c r="AA85" i="6"/>
  <c r="P85" i="6" s="1"/>
  <c r="R85" i="6" s="1"/>
  <c r="Y85" i="6"/>
  <c r="X85" i="6"/>
  <c r="AA84" i="6"/>
  <c r="P84" i="6" s="1"/>
  <c r="R84" i="6" s="1"/>
  <c r="B84" i="6"/>
  <c r="AA83" i="6"/>
  <c r="Z83" i="6"/>
  <c r="X83" i="6"/>
  <c r="U83" i="6"/>
  <c r="T83" i="6"/>
  <c r="R83" i="6"/>
  <c r="P83" i="6"/>
  <c r="B83" i="6"/>
  <c r="C82" i="6"/>
  <c r="B82" i="6"/>
  <c r="Y81" i="6"/>
  <c r="C81" i="6"/>
  <c r="B81" i="6"/>
  <c r="AA80" i="6"/>
  <c r="B80" i="6"/>
  <c r="C79" i="6"/>
  <c r="B79" i="6"/>
  <c r="C78" i="6"/>
  <c r="B78" i="6"/>
  <c r="R77" i="6"/>
  <c r="C77" i="6"/>
  <c r="B77" i="6"/>
  <c r="C76" i="6"/>
  <c r="B76" i="6"/>
  <c r="P75" i="6"/>
  <c r="R75" i="6" s="1"/>
  <c r="C75" i="6"/>
  <c r="B75" i="6"/>
  <c r="C74" i="6"/>
  <c r="B74" i="6"/>
  <c r="AA73" i="6"/>
  <c r="B73" i="6"/>
  <c r="C72" i="6"/>
  <c r="B72" i="6"/>
  <c r="C71" i="6"/>
  <c r="B71" i="6"/>
  <c r="C70" i="6"/>
  <c r="B70" i="6"/>
  <c r="C69" i="6"/>
  <c r="B69" i="6"/>
  <c r="D68" i="6"/>
  <c r="AA68" i="6" s="1"/>
  <c r="P68" i="6" s="1"/>
  <c r="R68" i="6" s="1"/>
  <c r="C68" i="6"/>
  <c r="B68" i="6"/>
  <c r="C67" i="6"/>
  <c r="B67" i="6"/>
  <c r="AA66" i="6"/>
  <c r="B66" i="6"/>
  <c r="C65" i="6"/>
  <c r="B65" i="6"/>
  <c r="C64" i="6"/>
  <c r="B64" i="6"/>
  <c r="C63" i="6"/>
  <c r="B63" i="6"/>
  <c r="R62" i="6"/>
  <c r="D62" i="6"/>
  <c r="AA62" i="6" s="1"/>
  <c r="P62" i="6" s="1"/>
  <c r="C62" i="6"/>
  <c r="B62" i="6"/>
  <c r="C61" i="6"/>
  <c r="B61" i="6"/>
  <c r="B60" i="6"/>
  <c r="AA59" i="6"/>
  <c r="B59" i="6"/>
  <c r="AA58" i="6"/>
  <c r="P58" i="6" s="1"/>
  <c r="R58" i="6" s="1"/>
  <c r="C58" i="6"/>
  <c r="B58" i="6"/>
  <c r="Y57" i="6"/>
  <c r="D57" i="6"/>
  <c r="AA57" i="6" s="1"/>
  <c r="P57" i="6" s="1"/>
  <c r="R57" i="6" s="1"/>
  <c r="C57" i="6"/>
  <c r="B57" i="6"/>
  <c r="C56" i="6"/>
  <c r="B56" i="6"/>
  <c r="AA55" i="6"/>
  <c r="B55" i="6"/>
  <c r="C54" i="6"/>
  <c r="B54" i="6"/>
  <c r="C53" i="6"/>
  <c r="B53" i="6"/>
  <c r="C52" i="6"/>
  <c r="B52" i="6"/>
  <c r="C51" i="6"/>
  <c r="B51" i="6"/>
  <c r="AA50" i="6"/>
  <c r="B50" i="6"/>
  <c r="C49" i="6"/>
  <c r="B49" i="6"/>
  <c r="C48" i="6"/>
  <c r="B48" i="6"/>
  <c r="C47" i="6"/>
  <c r="B47" i="6"/>
  <c r="C46" i="6"/>
  <c r="B46" i="6"/>
  <c r="Z45" i="6"/>
  <c r="Y45" i="6"/>
  <c r="X45" i="6"/>
  <c r="V45" i="6"/>
  <c r="D45" i="6"/>
  <c r="AA45" i="6" s="1"/>
  <c r="P45" i="6" s="1"/>
  <c r="R45" i="6" s="1"/>
  <c r="C45" i="6"/>
  <c r="B45" i="6"/>
  <c r="C44" i="6"/>
  <c r="B44" i="6"/>
  <c r="AA43" i="6"/>
  <c r="B43" i="6"/>
  <c r="V42" i="6"/>
  <c r="T42" i="6"/>
  <c r="C42" i="6"/>
  <c r="B42" i="6"/>
  <c r="Z41" i="6"/>
  <c r="C41" i="6"/>
  <c r="B41" i="6"/>
  <c r="C40" i="6"/>
  <c r="B40" i="6"/>
  <c r="C39" i="6"/>
  <c r="B39" i="6"/>
  <c r="AA38" i="6"/>
  <c r="B38" i="6"/>
  <c r="V37" i="6"/>
  <c r="C37" i="6"/>
  <c r="B37" i="6"/>
  <c r="AA36" i="6"/>
  <c r="P36" i="6" s="1"/>
  <c r="R36" i="6" s="1"/>
  <c r="U36" i="6"/>
  <c r="D36" i="6"/>
  <c r="C36" i="6"/>
  <c r="B36" i="6"/>
  <c r="C35" i="6"/>
  <c r="B35" i="6"/>
  <c r="C34" i="6"/>
  <c r="B34" i="6"/>
  <c r="AA33" i="6"/>
  <c r="B33" i="6"/>
  <c r="AA32" i="6"/>
  <c r="P32" i="6"/>
  <c r="R32" i="6" s="1"/>
  <c r="T32" i="6" s="1"/>
  <c r="D32" i="6"/>
  <c r="C32" i="6"/>
  <c r="B32" i="6"/>
  <c r="C31" i="6"/>
  <c r="B31" i="6"/>
  <c r="C30" i="6"/>
  <c r="B30" i="6"/>
  <c r="AA29" i="6"/>
  <c r="B29" i="6"/>
  <c r="C28" i="6"/>
  <c r="B28" i="6"/>
  <c r="C27" i="6"/>
  <c r="B27" i="6"/>
  <c r="D26" i="6"/>
  <c r="AA26" i="6" s="1"/>
  <c r="P26" i="6" s="1"/>
  <c r="R26" i="6" s="1"/>
  <c r="S26" i="6" s="1"/>
  <c r="C26" i="6"/>
  <c r="B26" i="6"/>
  <c r="C25" i="6"/>
  <c r="B25" i="6"/>
  <c r="D24" i="6"/>
  <c r="AA24" i="6" s="1"/>
  <c r="P24" i="6" s="1"/>
  <c r="R24" i="6" s="1"/>
  <c r="C24" i="6"/>
  <c r="B24" i="6"/>
  <c r="AA23" i="6"/>
  <c r="B23" i="6"/>
  <c r="C22" i="6"/>
  <c r="B22" i="6"/>
  <c r="C21" i="6"/>
  <c r="B21" i="6"/>
  <c r="C20" i="6"/>
  <c r="B20" i="6"/>
  <c r="Z19" i="6"/>
  <c r="D19" i="6"/>
  <c r="AA19" i="6" s="1"/>
  <c r="P19" i="6" s="1"/>
  <c r="R19" i="6" s="1"/>
  <c r="C19" i="6"/>
  <c r="B19" i="6"/>
  <c r="D18" i="6"/>
  <c r="AA18" i="6" s="1"/>
  <c r="P18" i="6" s="1"/>
  <c r="R18" i="6" s="1"/>
  <c r="C18" i="6"/>
  <c r="B18" i="6"/>
  <c r="AA17" i="6"/>
  <c r="B17" i="6"/>
  <c r="C16" i="6"/>
  <c r="B16" i="6"/>
  <c r="AA15" i="6"/>
  <c r="B15" i="6"/>
  <c r="C14" i="6"/>
  <c r="B14" i="6"/>
  <c r="C13" i="6"/>
  <c r="B13" i="6"/>
  <c r="C12" i="6"/>
  <c r="B12" i="6"/>
  <c r="C11" i="6"/>
  <c r="B11" i="6"/>
  <c r="C10" i="6"/>
  <c r="B10" i="6"/>
  <c r="C9" i="6"/>
  <c r="B9" i="6"/>
  <c r="C8" i="6"/>
  <c r="B8" i="6"/>
  <c r="C7" i="6"/>
  <c r="B7" i="6"/>
  <c r="M6" i="6"/>
  <c r="AA6" i="6" s="1"/>
  <c r="P6" i="6" s="1"/>
  <c r="R6" i="6" s="1"/>
  <c r="X6" i="6" s="1"/>
  <c r="C6" i="6"/>
  <c r="B6" i="6"/>
  <c r="B5" i="6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3" i="5"/>
  <c r="J8" i="5" s="1"/>
  <c r="E162" i="5"/>
  <c r="E161" i="5"/>
  <c r="E160" i="5"/>
  <c r="E159" i="5"/>
  <c r="E158" i="5"/>
  <c r="E157" i="5"/>
  <c r="E152" i="5"/>
  <c r="E151" i="5"/>
  <c r="E150" i="5"/>
  <c r="E149" i="5"/>
  <c r="E148" i="5"/>
  <c r="E147" i="5"/>
  <c r="E142" i="5"/>
  <c r="E141" i="5"/>
  <c r="E140" i="5"/>
  <c r="E139" i="5"/>
  <c r="E138" i="5"/>
  <c r="E137" i="5"/>
  <c r="E136" i="5"/>
  <c r="E135" i="5"/>
  <c r="E130" i="5"/>
  <c r="E129" i="5"/>
  <c r="E128" i="5"/>
  <c r="E127" i="5"/>
  <c r="E126" i="5"/>
  <c r="E125" i="5"/>
  <c r="E124" i="5"/>
  <c r="E123" i="5"/>
  <c r="E122" i="5"/>
  <c r="E121" i="5"/>
  <c r="E120" i="5"/>
  <c r="E115" i="5"/>
  <c r="J114" i="5"/>
  <c r="E114" i="5"/>
  <c r="J113" i="5"/>
  <c r="E113" i="5"/>
  <c r="J112" i="5"/>
  <c r="E112" i="5"/>
  <c r="J111" i="5"/>
  <c r="E111" i="5"/>
  <c r="J110" i="5"/>
  <c r="E110" i="5"/>
  <c r="J109" i="5"/>
  <c r="E109" i="5"/>
  <c r="J108" i="5"/>
  <c r="E108" i="5"/>
  <c r="J107" i="5"/>
  <c r="E107" i="5"/>
  <c r="J106" i="5"/>
  <c r="E106" i="5"/>
  <c r="J105" i="5"/>
  <c r="E105" i="5"/>
  <c r="J104" i="5"/>
  <c r="E104" i="5"/>
  <c r="J103" i="5"/>
  <c r="E103" i="5"/>
  <c r="J102" i="5"/>
  <c r="E102" i="5"/>
  <c r="J101" i="5"/>
  <c r="E101" i="5"/>
  <c r="J100" i="5"/>
  <c r="E100" i="5"/>
  <c r="J99" i="5"/>
  <c r="E99" i="5"/>
  <c r="J98" i="5"/>
  <c r="E98" i="5"/>
  <c r="J97" i="5"/>
  <c r="E97" i="5"/>
  <c r="J96" i="5"/>
  <c r="E96" i="5"/>
  <c r="J95" i="5"/>
  <c r="J116" i="5" s="1"/>
  <c r="E95" i="5"/>
  <c r="J90" i="5"/>
  <c r="E90" i="5"/>
  <c r="J89" i="5"/>
  <c r="E89" i="5"/>
  <c r="J88" i="5"/>
  <c r="E88" i="5"/>
  <c r="J87" i="5"/>
  <c r="E87" i="5"/>
  <c r="E91" i="5" s="1"/>
  <c r="J86" i="5"/>
  <c r="E86" i="5"/>
  <c r="J85" i="5"/>
  <c r="E85" i="5"/>
  <c r="E80" i="5"/>
  <c r="E79" i="5"/>
  <c r="E78" i="5"/>
  <c r="E81" i="5" s="1"/>
  <c r="H9" i="5" s="1"/>
  <c r="E77" i="5"/>
  <c r="J72" i="5"/>
  <c r="E72" i="5"/>
  <c r="J71" i="5"/>
  <c r="E71" i="5"/>
  <c r="J70" i="5"/>
  <c r="E70" i="5"/>
  <c r="J69" i="5"/>
  <c r="E69" i="5"/>
  <c r="J68" i="5"/>
  <c r="E68" i="5"/>
  <c r="J67" i="5"/>
  <c r="E67" i="5"/>
  <c r="J66" i="5"/>
  <c r="E66" i="5"/>
  <c r="J65" i="5"/>
  <c r="E65" i="5"/>
  <c r="J64" i="5"/>
  <c r="E64" i="5"/>
  <c r="J63" i="5"/>
  <c r="E63" i="5"/>
  <c r="J58" i="5"/>
  <c r="E58" i="5"/>
  <c r="J57" i="5"/>
  <c r="E57" i="5"/>
  <c r="J56" i="5"/>
  <c r="E56" i="5"/>
  <c r="J55" i="5"/>
  <c r="E55" i="5"/>
  <c r="J54" i="5"/>
  <c r="E54" i="5"/>
  <c r="J53" i="5"/>
  <c r="E53" i="5"/>
  <c r="J52" i="5"/>
  <c r="E52" i="5"/>
  <c r="J51" i="5"/>
  <c r="E51" i="5"/>
  <c r="J50" i="5"/>
  <c r="E50" i="5"/>
  <c r="J49" i="5"/>
  <c r="E49" i="5"/>
  <c r="J48" i="5"/>
  <c r="E48" i="5"/>
  <c r="J47" i="5"/>
  <c r="E47" i="5"/>
  <c r="E59" i="5" s="1"/>
  <c r="J46" i="5"/>
  <c r="E46" i="5"/>
  <c r="J45" i="5"/>
  <c r="E45" i="5"/>
  <c r="E40" i="5"/>
  <c r="E39" i="5"/>
  <c r="E38" i="5"/>
  <c r="E37" i="5"/>
  <c r="E36" i="5"/>
  <c r="E35" i="5"/>
  <c r="E34" i="5"/>
  <c r="E33" i="5"/>
  <c r="J28" i="5"/>
  <c r="E28" i="5"/>
  <c r="J27" i="5"/>
  <c r="E27" i="5"/>
  <c r="J26" i="5"/>
  <c r="E26" i="5"/>
  <c r="J25" i="5"/>
  <c r="E25" i="5"/>
  <c r="J24" i="5"/>
  <c r="E24" i="5"/>
  <c r="J19" i="5"/>
  <c r="E19" i="5"/>
  <c r="J18" i="5"/>
  <c r="E18" i="5"/>
  <c r="J17" i="5"/>
  <c r="E17" i="5"/>
  <c r="J16" i="5"/>
  <c r="E16" i="5"/>
  <c r="J15" i="5"/>
  <c r="E15" i="5"/>
  <c r="J14" i="5"/>
  <c r="E14" i="5"/>
  <c r="J13" i="5"/>
  <c r="E13" i="5"/>
  <c r="E8" i="5"/>
  <c r="E7" i="5"/>
  <c r="E6" i="5"/>
  <c r="E5" i="5"/>
  <c r="E4" i="5"/>
  <c r="I91" i="4"/>
  <c r="E91" i="4"/>
  <c r="C91" i="4"/>
  <c r="B91" i="4"/>
  <c r="A91" i="4"/>
  <c r="J90" i="4"/>
  <c r="I90" i="4"/>
  <c r="E90" i="4" s="1"/>
  <c r="C90" i="4"/>
  <c r="B90" i="4"/>
  <c r="A90" i="4"/>
  <c r="B89" i="4"/>
  <c r="A89" i="4"/>
  <c r="L88" i="4"/>
  <c r="K88" i="4"/>
  <c r="I88" i="4"/>
  <c r="E88" i="4"/>
  <c r="C88" i="4"/>
  <c r="B88" i="4"/>
  <c r="A88" i="4"/>
  <c r="I87" i="4"/>
  <c r="E87" i="4"/>
  <c r="C87" i="4"/>
  <c r="B87" i="4"/>
  <c r="A87" i="4"/>
  <c r="J86" i="4"/>
  <c r="I86" i="4"/>
  <c r="E86" i="4" s="1"/>
  <c r="C86" i="4"/>
  <c r="B86" i="4"/>
  <c r="A86" i="4"/>
  <c r="I85" i="4"/>
  <c r="E85" i="4" s="1"/>
  <c r="C85" i="4"/>
  <c r="B85" i="4"/>
  <c r="A85" i="4"/>
  <c r="I84" i="4"/>
  <c r="E84" i="4" s="1"/>
  <c r="C84" i="4"/>
  <c r="B84" i="4"/>
  <c r="A84" i="4"/>
  <c r="I83" i="4"/>
  <c r="E83" i="4" s="1"/>
  <c r="D83" i="4"/>
  <c r="C83" i="4"/>
  <c r="B83" i="4"/>
  <c r="A83" i="4"/>
  <c r="B82" i="4"/>
  <c r="A82" i="4"/>
  <c r="L81" i="4"/>
  <c r="I81" i="4"/>
  <c r="E81" i="4"/>
  <c r="D81" i="4"/>
  <c r="C81" i="4"/>
  <c r="B81" i="4"/>
  <c r="A81" i="4"/>
  <c r="I80" i="4"/>
  <c r="E80" i="4" s="1"/>
  <c r="C80" i="4"/>
  <c r="B80" i="4"/>
  <c r="A80" i="4"/>
  <c r="I79" i="4"/>
  <c r="E79" i="4" s="1"/>
  <c r="D79" i="4"/>
  <c r="C79" i="4"/>
  <c r="B79" i="4"/>
  <c r="A79" i="4"/>
  <c r="I78" i="4"/>
  <c r="E78" i="4" s="1"/>
  <c r="C78" i="4"/>
  <c r="B78" i="4"/>
  <c r="A78" i="4"/>
  <c r="I77" i="4"/>
  <c r="E77" i="4"/>
  <c r="C77" i="4"/>
  <c r="B77" i="4"/>
  <c r="A77" i="4"/>
  <c r="I76" i="4"/>
  <c r="E76" i="4"/>
  <c r="C76" i="4"/>
  <c r="B76" i="4"/>
  <c r="A76" i="4"/>
  <c r="C75" i="4"/>
  <c r="B75" i="4"/>
  <c r="A75" i="4"/>
  <c r="I74" i="4"/>
  <c r="E74" i="4"/>
  <c r="D74" i="4"/>
  <c r="C74" i="4"/>
  <c r="B74" i="4"/>
  <c r="A74" i="4"/>
  <c r="I73" i="4"/>
  <c r="E73" i="4" s="1"/>
  <c r="C73" i="4"/>
  <c r="B73" i="4"/>
  <c r="A73" i="4"/>
  <c r="I72" i="4"/>
  <c r="E72" i="4"/>
  <c r="C72" i="4"/>
  <c r="B72" i="4"/>
  <c r="A72" i="4"/>
  <c r="I71" i="4"/>
  <c r="E71" i="4" s="1"/>
  <c r="D71" i="4"/>
  <c r="C71" i="4"/>
  <c r="B71" i="4"/>
  <c r="A71" i="4"/>
  <c r="L70" i="4"/>
  <c r="J70" i="4"/>
  <c r="I70" i="4"/>
  <c r="E70" i="4"/>
  <c r="C70" i="4"/>
  <c r="B70" i="4"/>
  <c r="A70" i="4"/>
  <c r="I69" i="4"/>
  <c r="E69" i="4"/>
  <c r="C69" i="4"/>
  <c r="B69" i="4"/>
  <c r="A69" i="4"/>
  <c r="C68" i="4"/>
  <c r="B68" i="4"/>
  <c r="A68" i="4"/>
  <c r="I67" i="4"/>
  <c r="E67" i="4" s="1"/>
  <c r="C67" i="4"/>
  <c r="B67" i="4"/>
  <c r="A67" i="4"/>
  <c r="I66" i="4"/>
  <c r="E66" i="4" s="1"/>
  <c r="C66" i="4"/>
  <c r="B66" i="4"/>
  <c r="A66" i="4"/>
  <c r="I65" i="4"/>
  <c r="E65" i="4" s="1"/>
  <c r="C65" i="4"/>
  <c r="B65" i="4"/>
  <c r="A65" i="4"/>
  <c r="B64" i="4"/>
  <c r="A64" i="4"/>
  <c r="I63" i="4"/>
  <c r="E63" i="4" s="1"/>
  <c r="D63" i="4"/>
  <c r="C63" i="4"/>
  <c r="B63" i="4"/>
  <c r="A63" i="4"/>
  <c r="I62" i="4"/>
  <c r="E62" i="4" s="1"/>
  <c r="D62" i="4"/>
  <c r="C62" i="4"/>
  <c r="B62" i="4"/>
  <c r="A62" i="4"/>
  <c r="I61" i="4"/>
  <c r="E61" i="4"/>
  <c r="D61" i="4"/>
  <c r="C61" i="4"/>
  <c r="B61" i="4"/>
  <c r="A61" i="4"/>
  <c r="J60" i="4"/>
  <c r="I60" i="4"/>
  <c r="E60" i="4"/>
  <c r="D60" i="4"/>
  <c r="L60" i="4" s="1"/>
  <c r="C60" i="4"/>
  <c r="B60" i="4"/>
  <c r="A60" i="4"/>
  <c r="B59" i="4"/>
  <c r="A59" i="4"/>
  <c r="I58" i="4"/>
  <c r="E58" i="4"/>
  <c r="C58" i="4"/>
  <c r="B58" i="4"/>
  <c r="A58" i="4"/>
  <c r="I57" i="4"/>
  <c r="E57" i="4" s="1"/>
  <c r="C57" i="4"/>
  <c r="B57" i="4"/>
  <c r="A57" i="4"/>
  <c r="I56" i="4"/>
  <c r="E56" i="4" s="1"/>
  <c r="C56" i="4"/>
  <c r="B56" i="4"/>
  <c r="A56" i="4"/>
  <c r="I55" i="4"/>
  <c r="E55" i="4" s="1"/>
  <c r="C55" i="4"/>
  <c r="B55" i="4"/>
  <c r="A55" i="4"/>
  <c r="I54" i="4"/>
  <c r="E54" i="4" s="1"/>
  <c r="D54" i="4"/>
  <c r="C54" i="4"/>
  <c r="B54" i="4"/>
  <c r="A54" i="4"/>
  <c r="I53" i="4"/>
  <c r="E53" i="4" s="1"/>
  <c r="C53" i="4"/>
  <c r="B53" i="4"/>
  <c r="A53" i="4"/>
  <c r="B52" i="4"/>
  <c r="A52" i="4"/>
  <c r="I51" i="4"/>
  <c r="E51" i="4"/>
  <c r="C51" i="4"/>
  <c r="B51" i="4"/>
  <c r="A51" i="4"/>
  <c r="I50" i="4"/>
  <c r="E50" i="4"/>
  <c r="C50" i="4"/>
  <c r="B50" i="4"/>
  <c r="A50" i="4"/>
  <c r="I49" i="4"/>
  <c r="E49" i="4"/>
  <c r="C49" i="4"/>
  <c r="B49" i="4"/>
  <c r="A49" i="4"/>
  <c r="I48" i="4"/>
  <c r="E48" i="4" s="1"/>
  <c r="C48" i="4"/>
  <c r="B48" i="4"/>
  <c r="A48" i="4"/>
  <c r="B47" i="4"/>
  <c r="A47" i="4"/>
  <c r="I46" i="4"/>
  <c r="E46" i="4" s="1"/>
  <c r="C46" i="4"/>
  <c r="B46" i="4"/>
  <c r="A46" i="4"/>
  <c r="I45" i="4"/>
  <c r="E45" i="4"/>
  <c r="C45" i="4"/>
  <c r="B45" i="4"/>
  <c r="A45" i="4"/>
  <c r="I44" i="4"/>
  <c r="E44" i="4" s="1"/>
  <c r="C44" i="4"/>
  <c r="B44" i="4"/>
  <c r="A44" i="4"/>
  <c r="I43" i="4"/>
  <c r="E43" i="4"/>
  <c r="D43" i="4"/>
  <c r="C43" i="4"/>
  <c r="B43" i="4"/>
  <c r="A43" i="4"/>
  <c r="B42" i="4"/>
  <c r="A42" i="4"/>
  <c r="I41" i="4"/>
  <c r="E41" i="4"/>
  <c r="C41" i="4"/>
  <c r="B41" i="4"/>
  <c r="A41" i="4"/>
  <c r="I40" i="4"/>
  <c r="E40" i="4"/>
  <c r="C40" i="4"/>
  <c r="B40" i="4"/>
  <c r="A40" i="4"/>
  <c r="I39" i="4"/>
  <c r="E39" i="4" s="1"/>
  <c r="D39" i="4"/>
  <c r="C39" i="4"/>
  <c r="B39" i="4"/>
  <c r="A39" i="4"/>
  <c r="B38" i="4"/>
  <c r="A38" i="4"/>
  <c r="I37" i="4"/>
  <c r="E37" i="4"/>
  <c r="C37" i="4"/>
  <c r="B37" i="4"/>
  <c r="A37" i="4"/>
  <c r="I36" i="4"/>
  <c r="E36" i="4"/>
  <c r="C36" i="4"/>
  <c r="B36" i="4"/>
  <c r="A36" i="4"/>
  <c r="I35" i="4"/>
  <c r="E35" i="4" s="1"/>
  <c r="C35" i="4"/>
  <c r="B35" i="4"/>
  <c r="A35" i="4"/>
  <c r="I34" i="4"/>
  <c r="E34" i="4" s="1"/>
  <c r="C34" i="4"/>
  <c r="B34" i="4"/>
  <c r="A34" i="4"/>
  <c r="I33" i="4"/>
  <c r="E33" i="4" s="1"/>
  <c r="D33" i="4"/>
  <c r="C33" i="4"/>
  <c r="B33" i="4"/>
  <c r="A33" i="4"/>
  <c r="B32" i="4"/>
  <c r="A32" i="4"/>
  <c r="I31" i="4"/>
  <c r="E31" i="4" s="1"/>
  <c r="C31" i="4"/>
  <c r="B31" i="4"/>
  <c r="A31" i="4"/>
  <c r="I30" i="4"/>
  <c r="E30" i="4"/>
  <c r="C30" i="4"/>
  <c r="B30" i="4"/>
  <c r="A30" i="4"/>
  <c r="I29" i="4"/>
  <c r="E29" i="4" s="1"/>
  <c r="C29" i="4"/>
  <c r="B29" i="4"/>
  <c r="A29" i="4"/>
  <c r="J28" i="4"/>
  <c r="I28" i="4"/>
  <c r="E28" i="4" s="1"/>
  <c r="C28" i="4"/>
  <c r="B28" i="4"/>
  <c r="A28" i="4"/>
  <c r="L27" i="4"/>
  <c r="I27" i="4"/>
  <c r="E27" i="4" s="1"/>
  <c r="C27" i="4"/>
  <c r="B27" i="4"/>
  <c r="A27" i="4"/>
  <c r="B26" i="4"/>
  <c r="A26" i="4"/>
  <c r="I25" i="4"/>
  <c r="E25" i="4" s="1"/>
  <c r="C25" i="4"/>
  <c r="B25" i="4"/>
  <c r="A25" i="4"/>
  <c r="B24" i="4"/>
  <c r="A24" i="4"/>
  <c r="I23" i="4"/>
  <c r="E23" i="4" s="1"/>
  <c r="C23" i="4"/>
  <c r="B23" i="4"/>
  <c r="A23" i="4"/>
  <c r="L22" i="4"/>
  <c r="I22" i="4"/>
  <c r="E22" i="4"/>
  <c r="D22" i="4"/>
  <c r="C22" i="4"/>
  <c r="B22" i="4"/>
  <c r="A22" i="4"/>
  <c r="I21" i="4"/>
  <c r="E21" i="4" s="1"/>
  <c r="C21" i="4"/>
  <c r="B21" i="4"/>
  <c r="A21" i="4"/>
  <c r="I20" i="4"/>
  <c r="E20" i="4"/>
  <c r="C20" i="4"/>
  <c r="B20" i="4"/>
  <c r="A20" i="4"/>
  <c r="I19" i="4"/>
  <c r="E19" i="4" s="1"/>
  <c r="C19" i="4"/>
  <c r="B19" i="4"/>
  <c r="A19" i="4"/>
  <c r="I18" i="4"/>
  <c r="E18" i="4" s="1"/>
  <c r="C18" i="4"/>
  <c r="B18" i="4"/>
  <c r="A18" i="4"/>
  <c r="I17" i="4"/>
  <c r="E17" i="4" s="1"/>
  <c r="C17" i="4"/>
  <c r="B17" i="4"/>
  <c r="A17" i="4"/>
  <c r="I16" i="4"/>
  <c r="E16" i="4"/>
  <c r="C16" i="4"/>
  <c r="B16" i="4"/>
  <c r="A16" i="4"/>
  <c r="G15" i="4"/>
  <c r="F15" i="4"/>
  <c r="C15" i="4"/>
  <c r="B15" i="4"/>
  <c r="A15" i="4"/>
  <c r="B14" i="4"/>
  <c r="A14" i="4"/>
  <c r="K13" i="4"/>
  <c r="J13" i="4"/>
  <c r="M13" i="4" s="1"/>
  <c r="I13" i="4"/>
  <c r="E13" i="4" s="1"/>
  <c r="C13" i="4"/>
  <c r="B13" i="4"/>
  <c r="A13" i="4"/>
  <c r="L12" i="4"/>
  <c r="I12" i="4"/>
  <c r="E12" i="4" s="1"/>
  <c r="C12" i="4"/>
  <c r="B12" i="4"/>
  <c r="A12" i="4"/>
  <c r="L11" i="4"/>
  <c r="I11" i="4"/>
  <c r="E11" i="4" s="1"/>
  <c r="C11" i="4"/>
  <c r="B11" i="4"/>
  <c r="A11" i="4"/>
  <c r="I10" i="4"/>
  <c r="E10" i="4"/>
  <c r="C10" i="4"/>
  <c r="B10" i="4"/>
  <c r="A10" i="4"/>
  <c r="I9" i="4"/>
  <c r="E9" i="4"/>
  <c r="C9" i="4"/>
  <c r="B9" i="4"/>
  <c r="A9" i="4"/>
  <c r="C8" i="4"/>
  <c r="B8" i="4"/>
  <c r="A8" i="4"/>
  <c r="H362" i="3"/>
  <c r="A361" i="3"/>
  <c r="H356" i="3"/>
  <c r="A355" i="3"/>
  <c r="F351" i="3"/>
  <c r="F350" i="3"/>
  <c r="F349" i="3"/>
  <c r="D352" i="3" s="1"/>
  <c r="B348" i="3"/>
  <c r="A348" i="3"/>
  <c r="F346" i="3"/>
  <c r="F345" i="3"/>
  <c r="D347" i="3" s="1"/>
  <c r="B344" i="3"/>
  <c r="A344" i="3"/>
  <c r="F342" i="3"/>
  <c r="F341" i="3"/>
  <c r="F343" i="3" s="1"/>
  <c r="F340" i="3"/>
  <c r="F339" i="3" s="1"/>
  <c r="E339" i="3" s="1"/>
  <c r="B339" i="3"/>
  <c r="A339" i="3"/>
  <c r="D338" i="3"/>
  <c r="G337" i="3"/>
  <c r="F337" i="3"/>
  <c r="F338" i="3" s="1"/>
  <c r="F336" i="3"/>
  <c r="F335" i="3"/>
  <c r="E335" i="3" s="1"/>
  <c r="B335" i="3"/>
  <c r="A335" i="3"/>
  <c r="D334" i="3"/>
  <c r="F333" i="3"/>
  <c r="F332" i="3"/>
  <c r="F331" i="3"/>
  <c r="B330" i="3"/>
  <c r="A330" i="3"/>
  <c r="D329" i="3"/>
  <c r="F328" i="3"/>
  <c r="F329" i="3" s="1"/>
  <c r="F327" i="3"/>
  <c r="B326" i="3"/>
  <c r="A326" i="3"/>
  <c r="F325" i="3"/>
  <c r="E325" i="3"/>
  <c r="D325" i="3"/>
  <c r="C325" i="3"/>
  <c r="B325" i="3"/>
  <c r="A325" i="3"/>
  <c r="C321" i="3"/>
  <c r="B321" i="3"/>
  <c r="A321" i="3"/>
  <c r="C317" i="3"/>
  <c r="B317" i="3"/>
  <c r="A317" i="3"/>
  <c r="F316" i="3"/>
  <c r="D316" i="3"/>
  <c r="F315" i="3"/>
  <c r="F314" i="3"/>
  <c r="F313" i="3"/>
  <c r="E313" i="3"/>
  <c r="C313" i="3"/>
  <c r="B313" i="3"/>
  <c r="A313" i="3"/>
  <c r="C309" i="3"/>
  <c r="B309" i="3"/>
  <c r="A309" i="3"/>
  <c r="D302" i="3"/>
  <c r="C302" i="3"/>
  <c r="B302" i="3"/>
  <c r="A302" i="3"/>
  <c r="C295" i="3"/>
  <c r="B295" i="3"/>
  <c r="A295" i="3"/>
  <c r="B294" i="3"/>
  <c r="A294" i="3"/>
  <c r="C287" i="3"/>
  <c r="B287" i="3"/>
  <c r="A287" i="3"/>
  <c r="C280" i="3"/>
  <c r="B280" i="3"/>
  <c r="A280" i="3"/>
  <c r="C273" i="3"/>
  <c r="B273" i="3"/>
  <c r="A273" i="3"/>
  <c r="C266" i="3"/>
  <c r="B266" i="3"/>
  <c r="A266" i="3"/>
  <c r="F264" i="3"/>
  <c r="F263" i="3"/>
  <c r="D259" i="3"/>
  <c r="C259" i="3"/>
  <c r="B259" i="3"/>
  <c r="A259" i="3"/>
  <c r="C252" i="3"/>
  <c r="B252" i="3"/>
  <c r="A252" i="3"/>
  <c r="B251" i="3"/>
  <c r="A251" i="3"/>
  <c r="F249" i="3"/>
  <c r="F248" i="3"/>
  <c r="F247" i="3"/>
  <c r="C245" i="3"/>
  <c r="B245" i="3"/>
  <c r="A245" i="3"/>
  <c r="F243" i="3"/>
  <c r="F242" i="3"/>
  <c r="F241" i="3"/>
  <c r="C239" i="3"/>
  <c r="B239" i="3"/>
  <c r="A239" i="3"/>
  <c r="F237" i="3"/>
  <c r="F236" i="3"/>
  <c r="F235" i="3"/>
  <c r="D233" i="3"/>
  <c r="C233" i="3"/>
  <c r="B233" i="3"/>
  <c r="A233" i="3"/>
  <c r="B232" i="3"/>
  <c r="A232" i="3"/>
  <c r="F230" i="3"/>
  <c r="C228" i="3"/>
  <c r="B228" i="3"/>
  <c r="A228" i="3"/>
  <c r="F227" i="3"/>
  <c r="D227" i="3"/>
  <c r="F226" i="3"/>
  <c r="C224" i="3"/>
  <c r="B224" i="3"/>
  <c r="A224" i="3"/>
  <c r="F222" i="3"/>
  <c r="D220" i="3"/>
  <c r="C220" i="3"/>
  <c r="B220" i="3"/>
  <c r="A220" i="3"/>
  <c r="F218" i="3"/>
  <c r="D216" i="3"/>
  <c r="C216" i="3"/>
  <c r="B216" i="3"/>
  <c r="A216" i="3"/>
  <c r="B215" i="3"/>
  <c r="A215" i="3"/>
  <c r="F213" i="3"/>
  <c r="F212" i="3"/>
  <c r="F211" i="3"/>
  <c r="F210" i="3"/>
  <c r="F209" i="3"/>
  <c r="C207" i="3"/>
  <c r="B207" i="3"/>
  <c r="A207" i="3"/>
  <c r="F205" i="3"/>
  <c r="F204" i="3"/>
  <c r="F203" i="3"/>
  <c r="F202" i="3"/>
  <c r="F201" i="3"/>
  <c r="D199" i="3"/>
  <c r="F206" i="3" s="1"/>
  <c r="C199" i="3"/>
  <c r="B199" i="3"/>
  <c r="A199" i="3"/>
  <c r="F197" i="3"/>
  <c r="F196" i="3"/>
  <c r="F195" i="3"/>
  <c r="F194" i="3"/>
  <c r="F193" i="3"/>
  <c r="C191" i="3"/>
  <c r="B191" i="3"/>
  <c r="A191" i="3"/>
  <c r="F189" i="3"/>
  <c r="F188" i="3"/>
  <c r="F187" i="3"/>
  <c r="F186" i="3"/>
  <c r="F185" i="3"/>
  <c r="C183" i="3"/>
  <c r="B183" i="3"/>
  <c r="A183" i="3"/>
  <c r="B182" i="3"/>
  <c r="A182" i="3"/>
  <c r="F180" i="3"/>
  <c r="B177" i="3"/>
  <c r="A177" i="3"/>
  <c r="F175" i="3"/>
  <c r="B172" i="3"/>
  <c r="A172" i="3"/>
  <c r="F170" i="3"/>
  <c r="B167" i="3"/>
  <c r="A167" i="3"/>
  <c r="F165" i="3"/>
  <c r="F164" i="3"/>
  <c r="F163" i="3"/>
  <c r="B160" i="3"/>
  <c r="A160" i="3"/>
  <c r="B159" i="3"/>
  <c r="A159" i="3"/>
  <c r="B155" i="3"/>
  <c r="A155" i="3"/>
  <c r="B151" i="3"/>
  <c r="A151" i="3"/>
  <c r="B147" i="3"/>
  <c r="A147" i="3"/>
  <c r="B143" i="3"/>
  <c r="A143" i="3"/>
  <c r="B142" i="3"/>
  <c r="A142" i="3"/>
  <c r="B138" i="3"/>
  <c r="A138" i="3"/>
  <c r="B134" i="3"/>
  <c r="A134" i="3"/>
  <c r="B130" i="3"/>
  <c r="A130" i="3"/>
  <c r="B129" i="3"/>
  <c r="A129" i="3"/>
  <c r="F127" i="3"/>
  <c r="B123" i="3"/>
  <c r="A123" i="3"/>
  <c r="F121" i="3"/>
  <c r="F120" i="3"/>
  <c r="F119" i="3"/>
  <c r="F118" i="3"/>
  <c r="B114" i="3"/>
  <c r="A114" i="3"/>
  <c r="B109" i="3"/>
  <c r="A109" i="3"/>
  <c r="D104" i="3"/>
  <c r="B104" i="3"/>
  <c r="A104" i="3"/>
  <c r="F102" i="3"/>
  <c r="D99" i="3"/>
  <c r="B99" i="3"/>
  <c r="A99" i="3"/>
  <c r="B98" i="3"/>
  <c r="A98" i="3"/>
  <c r="C94" i="3"/>
  <c r="B94" i="3"/>
  <c r="A94" i="3"/>
  <c r="D90" i="3"/>
  <c r="B90" i="3"/>
  <c r="A90" i="3"/>
  <c r="B83" i="3"/>
  <c r="A83" i="3"/>
  <c r="F77" i="3"/>
  <c r="F73" i="3"/>
  <c r="H72" i="3"/>
  <c r="G72" i="3"/>
  <c r="H71" i="3"/>
  <c r="G71" i="3"/>
  <c r="F71" i="3"/>
  <c r="D70" i="3"/>
  <c r="B70" i="3"/>
  <c r="A70" i="3"/>
  <c r="H62" i="3"/>
  <c r="G62" i="3"/>
  <c r="H61" i="3"/>
  <c r="G61" i="3"/>
  <c r="B60" i="3"/>
  <c r="A60" i="3"/>
  <c r="B59" i="3"/>
  <c r="A59" i="3"/>
  <c r="H53" i="3"/>
  <c r="H52" i="3"/>
  <c r="B51" i="3"/>
  <c r="A51" i="3"/>
  <c r="B50" i="3"/>
  <c r="A50" i="3"/>
  <c r="H47" i="3"/>
  <c r="D46" i="3"/>
  <c r="B46" i="3"/>
  <c r="A46" i="3"/>
  <c r="H43" i="3"/>
  <c r="H42" i="3"/>
  <c r="D41" i="3"/>
  <c r="B41" i="3"/>
  <c r="A41" i="3"/>
  <c r="D40" i="3"/>
  <c r="F39" i="3"/>
  <c r="F40" i="3" s="1"/>
  <c r="H38" i="3"/>
  <c r="F38" i="3"/>
  <c r="F36" i="3" s="1"/>
  <c r="E36" i="3" s="1"/>
  <c r="H37" i="3"/>
  <c r="D36" i="3"/>
  <c r="F37" i="3" s="1"/>
  <c r="B36" i="3"/>
  <c r="A36" i="3"/>
  <c r="H33" i="3"/>
  <c r="H32" i="3"/>
  <c r="B31" i="3"/>
  <c r="A31" i="3"/>
  <c r="H28" i="3"/>
  <c r="H27" i="3"/>
  <c r="B26" i="3"/>
  <c r="A26" i="3"/>
  <c r="H24" i="3"/>
  <c r="H23" i="3"/>
  <c r="B22" i="3"/>
  <c r="A22" i="3"/>
  <c r="H19" i="3"/>
  <c r="H18" i="3"/>
  <c r="D17" i="3"/>
  <c r="F20" i="3" s="1"/>
  <c r="F21" i="3" s="1"/>
  <c r="B17" i="3"/>
  <c r="A17" i="3"/>
  <c r="H15" i="3"/>
  <c r="B14" i="3"/>
  <c r="A14" i="3"/>
  <c r="H12" i="3"/>
  <c r="H11" i="3"/>
  <c r="D9" i="3"/>
  <c r="F10" i="3" s="1"/>
  <c r="B9" i="3"/>
  <c r="A9" i="3"/>
  <c r="B8" i="3"/>
  <c r="A8" i="3"/>
  <c r="B4" i="3"/>
  <c r="B3" i="3"/>
  <c r="B2" i="3"/>
  <c r="B1" i="3"/>
  <c r="C41" i="2"/>
  <c r="F24" i="2"/>
  <c r="G24" i="2" s="1"/>
  <c r="H24" i="2" s="1"/>
  <c r="G23" i="2"/>
  <c r="H23" i="2" s="1"/>
  <c r="F23" i="2"/>
  <c r="G22" i="2"/>
  <c r="H22" i="2" s="1"/>
  <c r="F22" i="2"/>
  <c r="F21" i="2"/>
  <c r="G21" i="2" s="1"/>
  <c r="H21" i="2" s="1"/>
  <c r="G20" i="2"/>
  <c r="H20" i="2" s="1"/>
  <c r="F20" i="2"/>
  <c r="G19" i="2"/>
  <c r="H19" i="2" s="1"/>
  <c r="F19" i="2"/>
  <c r="F18" i="2"/>
  <c r="G18" i="2" s="1"/>
  <c r="H18" i="2" s="1"/>
  <c r="H17" i="2"/>
  <c r="G17" i="2"/>
  <c r="F17" i="2"/>
  <c r="H16" i="2"/>
  <c r="F16" i="2"/>
  <c r="G16" i="2" s="1"/>
  <c r="F15" i="2"/>
  <c r="G15" i="2" s="1"/>
  <c r="H15" i="2" s="1"/>
  <c r="H14" i="2"/>
  <c r="G14" i="2"/>
  <c r="F14" i="2"/>
  <c r="F13" i="2"/>
  <c r="G13" i="2" s="1"/>
  <c r="H13" i="2" s="1"/>
  <c r="F12" i="2"/>
  <c r="G12" i="2" s="1"/>
  <c r="H12" i="2" s="1"/>
  <c r="G11" i="2"/>
  <c r="H11" i="2" s="1"/>
  <c r="F11" i="2"/>
  <c r="G10" i="2"/>
  <c r="H10" i="2" s="1"/>
  <c r="F10" i="2"/>
  <c r="F9" i="2"/>
  <c r="G9" i="2" s="1"/>
  <c r="H9" i="2" s="1"/>
  <c r="H8" i="2"/>
  <c r="F8" i="2"/>
  <c r="G8" i="2" s="1"/>
  <c r="G7" i="2"/>
  <c r="H7" i="2" s="1"/>
  <c r="F7" i="2"/>
  <c r="F6" i="2"/>
  <c r="G6" i="2" s="1"/>
  <c r="H6" i="2" s="1"/>
  <c r="G5" i="2"/>
  <c r="H5" i="2" s="1"/>
  <c r="F5" i="2"/>
  <c r="H4" i="2"/>
  <c r="G4" i="2"/>
  <c r="F4" i="2"/>
  <c r="D98" i="1"/>
  <c r="D91" i="4" s="1"/>
  <c r="D97" i="1"/>
  <c r="D90" i="4" s="1"/>
  <c r="D95" i="1"/>
  <c r="D88" i="4" s="1"/>
  <c r="J88" i="4" s="1"/>
  <c r="M88" i="4" s="1"/>
  <c r="D94" i="1"/>
  <c r="D87" i="4" s="1"/>
  <c r="D93" i="1"/>
  <c r="D86" i="4" s="1"/>
  <c r="D92" i="1"/>
  <c r="D85" i="4" s="1"/>
  <c r="D91" i="1"/>
  <c r="D90" i="1"/>
  <c r="D81" i="6" s="1"/>
  <c r="AA81" i="6" s="1"/>
  <c r="P81" i="6" s="1"/>
  <c r="R81" i="6" s="1"/>
  <c r="D88" i="1"/>
  <c r="D87" i="1"/>
  <c r="D86" i="1"/>
  <c r="D77" i="6" s="1"/>
  <c r="AA77" i="6" s="1"/>
  <c r="P77" i="6" s="1"/>
  <c r="D85" i="1"/>
  <c r="D84" i="1"/>
  <c r="D75" i="6" s="1"/>
  <c r="AA75" i="6" s="1"/>
  <c r="D83" i="1"/>
  <c r="D81" i="1"/>
  <c r="D80" i="1"/>
  <c r="D79" i="1"/>
  <c r="D72" i="4" s="1"/>
  <c r="D78" i="1"/>
  <c r="D77" i="1"/>
  <c r="D70" i="4" s="1"/>
  <c r="K70" i="4" s="1"/>
  <c r="D76" i="1"/>
  <c r="D74" i="1"/>
  <c r="D73" i="1"/>
  <c r="D72" i="1"/>
  <c r="D70" i="1"/>
  <c r="D69" i="1"/>
  <c r="D224" i="3" s="1"/>
  <c r="F225" i="3" s="1"/>
  <c r="F224" i="3" s="1"/>
  <c r="E224" i="3" s="1"/>
  <c r="D68" i="1"/>
  <c r="D67" i="1"/>
  <c r="D58" i="6" s="1"/>
  <c r="D65" i="1"/>
  <c r="D64" i="1"/>
  <c r="D57" i="4" s="1"/>
  <c r="J57" i="4" s="1"/>
  <c r="D63" i="1"/>
  <c r="D62" i="1"/>
  <c r="D61" i="1"/>
  <c r="D60" i="1"/>
  <c r="D58" i="1"/>
  <c r="D49" i="6" s="1"/>
  <c r="AA49" i="6" s="1"/>
  <c r="P49" i="6" s="1"/>
  <c r="R49" i="6" s="1"/>
  <c r="D57" i="1"/>
  <c r="D56" i="1"/>
  <c r="D55" i="1"/>
  <c r="D53" i="1"/>
  <c r="D52" i="1"/>
  <c r="D155" i="3" s="1"/>
  <c r="F156" i="3" s="1"/>
  <c r="D51" i="1"/>
  <c r="D42" i="6" s="1"/>
  <c r="AA42" i="6" s="1"/>
  <c r="P42" i="6" s="1"/>
  <c r="R42" i="6" s="1"/>
  <c r="W42" i="6" s="1"/>
  <c r="D50" i="1"/>
  <c r="D41" i="6" s="1"/>
  <c r="AA41" i="6" s="1"/>
  <c r="P41" i="6" s="1"/>
  <c r="R41" i="6" s="1"/>
  <c r="D49" i="1"/>
  <c r="D48" i="1"/>
  <c r="D47" i="1"/>
  <c r="D44" i="4" s="1"/>
  <c r="D46" i="1"/>
  <c r="D37" i="6" s="1"/>
  <c r="AA37" i="6" s="1"/>
  <c r="P37" i="6" s="1"/>
  <c r="R37" i="6" s="1"/>
  <c r="Z37" i="6" s="1"/>
  <c r="D44" i="1"/>
  <c r="D41" i="4" s="1"/>
  <c r="D43" i="1"/>
  <c r="D42" i="1"/>
  <c r="D130" i="3" s="1"/>
  <c r="F132" i="3" s="1"/>
  <c r="D40" i="1"/>
  <c r="D39" i="1"/>
  <c r="D27" i="6" s="1"/>
  <c r="AA27" i="6" s="1"/>
  <c r="P27" i="6" s="1"/>
  <c r="R27" i="6" s="1"/>
  <c r="D38" i="1"/>
  <c r="D37" i="1"/>
  <c r="D36" i="1"/>
  <c r="D34" i="1"/>
  <c r="D33" i="1"/>
  <c r="D32" i="1"/>
  <c r="D31" i="1"/>
  <c r="D28" i="4" s="1"/>
  <c r="D30" i="1"/>
  <c r="D27" i="4" s="1"/>
  <c r="D28" i="1"/>
  <c r="D27" i="1"/>
  <c r="D26" i="1"/>
  <c r="D25" i="1"/>
  <c r="D23" i="1"/>
  <c r="D23" i="4" s="1"/>
  <c r="D22" i="1"/>
  <c r="D13" i="6" s="1"/>
  <c r="AA13" i="6" s="1"/>
  <c r="P13" i="6" s="1"/>
  <c r="R13" i="6" s="1"/>
  <c r="D21" i="1"/>
  <c r="D12" i="6" s="1"/>
  <c r="AA12" i="6" s="1"/>
  <c r="P12" i="6" s="1"/>
  <c r="R12" i="6" s="1"/>
  <c r="S12" i="6" s="1"/>
  <c r="D20" i="1"/>
  <c r="D31" i="3" s="1"/>
  <c r="D19" i="1"/>
  <c r="D18" i="1"/>
  <c r="D17" i="1"/>
  <c r="D8" i="6" s="1"/>
  <c r="AA8" i="6" s="1"/>
  <c r="P8" i="6" s="1"/>
  <c r="R8" i="6" s="1"/>
  <c r="D16" i="1"/>
  <c r="D15" i="1"/>
  <c r="D15" i="4" s="1"/>
  <c r="D13" i="1"/>
  <c r="D13" i="4" s="1"/>
  <c r="L13" i="4" s="1"/>
  <c r="D12" i="1"/>
  <c r="D12" i="4" s="1"/>
  <c r="J12" i="4" s="1"/>
  <c r="D11" i="1"/>
  <c r="D11" i="4" s="1"/>
  <c r="D10" i="1"/>
  <c r="D10" i="4" s="1"/>
  <c r="D9" i="1"/>
  <c r="D9" i="4" s="1"/>
  <c r="E153" i="5" l="1"/>
  <c r="J7" i="5" s="1"/>
  <c r="E131" i="5"/>
  <c r="J5" i="5" s="1"/>
  <c r="E116" i="5"/>
  <c r="J4" i="5" s="1"/>
  <c r="J73" i="5"/>
  <c r="E29" i="5"/>
  <c r="J29" i="5"/>
  <c r="E9" i="5"/>
  <c r="H3" i="5" s="1"/>
  <c r="F13" i="3"/>
  <c r="F219" i="3"/>
  <c r="W27" i="6"/>
  <c r="U27" i="6"/>
  <c r="T27" i="6"/>
  <c r="Y27" i="6"/>
  <c r="X27" i="6"/>
  <c r="V27" i="6"/>
  <c r="S27" i="6"/>
  <c r="Z27" i="6"/>
  <c r="D158" i="3"/>
  <c r="J44" i="4"/>
  <c r="K44" i="4"/>
  <c r="L44" i="4"/>
  <c r="L41" i="4"/>
  <c r="K41" i="4"/>
  <c r="J41" i="4"/>
  <c r="M41" i="4" s="1"/>
  <c r="D16" i="6"/>
  <c r="AA16" i="6" s="1"/>
  <c r="P16" i="6" s="1"/>
  <c r="R16" i="6" s="1"/>
  <c r="D25" i="4"/>
  <c r="D51" i="3"/>
  <c r="J85" i="4"/>
  <c r="L85" i="4"/>
  <c r="K85" i="4"/>
  <c r="F44" i="3"/>
  <c r="F45" i="3" s="1"/>
  <c r="F43" i="3"/>
  <c r="F304" i="3"/>
  <c r="F308" i="3" s="1"/>
  <c r="F303" i="3"/>
  <c r="F307" i="3"/>
  <c r="F306" i="3"/>
  <c r="F305" i="3"/>
  <c r="K33" i="4"/>
  <c r="L33" i="4"/>
  <c r="J33" i="4"/>
  <c r="J59" i="5"/>
  <c r="H7" i="5" s="1"/>
  <c r="M57" i="4"/>
  <c r="M70" i="4"/>
  <c r="J9" i="4"/>
  <c r="L9" i="4"/>
  <c r="K9" i="4"/>
  <c r="D18" i="4"/>
  <c r="D9" i="6"/>
  <c r="AA9" i="6" s="1"/>
  <c r="P9" i="6" s="1"/>
  <c r="R9" i="6" s="1"/>
  <c r="D22" i="3"/>
  <c r="D25" i="6"/>
  <c r="AA25" i="6" s="1"/>
  <c r="P25" i="6" s="1"/>
  <c r="R25" i="6" s="1"/>
  <c r="D34" i="4"/>
  <c r="D47" i="6"/>
  <c r="AA47" i="6" s="1"/>
  <c r="P47" i="6" s="1"/>
  <c r="R47" i="6" s="1"/>
  <c r="D167" i="3"/>
  <c r="D49" i="4"/>
  <c r="D56" i="6"/>
  <c r="AA56" i="6" s="1"/>
  <c r="P56" i="6" s="1"/>
  <c r="R56" i="6" s="1"/>
  <c r="D58" i="4"/>
  <c r="D67" i="6"/>
  <c r="AA67" i="6" s="1"/>
  <c r="P67" i="6" s="1"/>
  <c r="R67" i="6" s="1"/>
  <c r="D252" i="3"/>
  <c r="D69" i="4"/>
  <c r="D76" i="6"/>
  <c r="AA76" i="6" s="1"/>
  <c r="P76" i="6" s="1"/>
  <c r="R76" i="6" s="1"/>
  <c r="D78" i="4"/>
  <c r="L87" i="4"/>
  <c r="J87" i="4"/>
  <c r="K87" i="4"/>
  <c r="F42" i="3"/>
  <c r="J79" i="4"/>
  <c r="K79" i="4"/>
  <c r="D14" i="6"/>
  <c r="AA14" i="6" s="1"/>
  <c r="P14" i="6" s="1"/>
  <c r="R14" i="6" s="1"/>
  <c r="S19" i="6"/>
  <c r="W19" i="6"/>
  <c r="V19" i="6"/>
  <c r="T19" i="6"/>
  <c r="X19" i="6"/>
  <c r="U19" i="6"/>
  <c r="Y19" i="6"/>
  <c r="Y24" i="6"/>
  <c r="S24" i="6"/>
  <c r="U24" i="6"/>
  <c r="T24" i="6"/>
  <c r="X24" i="6"/>
  <c r="W24" i="6"/>
  <c r="Z24" i="6"/>
  <c r="V24" i="6"/>
  <c r="D48" i="6"/>
  <c r="AA48" i="6" s="1"/>
  <c r="P48" i="6" s="1"/>
  <c r="R48" i="6" s="1"/>
  <c r="D50" i="4"/>
  <c r="D172" i="3"/>
  <c r="K62" i="4"/>
  <c r="L62" i="4"/>
  <c r="J62" i="4"/>
  <c r="S62" i="6"/>
  <c r="Y62" i="6"/>
  <c r="Z62" i="6"/>
  <c r="X62" i="6"/>
  <c r="W62" i="6"/>
  <c r="V62" i="6"/>
  <c r="U62" i="6"/>
  <c r="K11" i="4"/>
  <c r="J11" i="4"/>
  <c r="M11" i="4" s="1"/>
  <c r="F34" i="3"/>
  <c r="F35" i="3" s="1"/>
  <c r="F33" i="3"/>
  <c r="T49" i="6"/>
  <c r="Z49" i="6"/>
  <c r="U49" i="6"/>
  <c r="S49" i="6"/>
  <c r="Y49" i="6"/>
  <c r="W49" i="6"/>
  <c r="V49" i="6"/>
  <c r="X49" i="6"/>
  <c r="K90" i="4"/>
  <c r="K89" i="4" s="1"/>
  <c r="L90" i="4"/>
  <c r="F101" i="3"/>
  <c r="F103" i="3" s="1"/>
  <c r="F100" i="3"/>
  <c r="K61" i="4"/>
  <c r="J61" i="4"/>
  <c r="L79" i="4"/>
  <c r="Z36" i="6"/>
  <c r="Y36" i="6"/>
  <c r="V36" i="6"/>
  <c r="T36" i="6"/>
  <c r="S36" i="6"/>
  <c r="X36" i="6"/>
  <c r="W36" i="6"/>
  <c r="T62" i="6"/>
  <c r="Y77" i="6"/>
  <c r="W77" i="6"/>
  <c r="V77" i="6"/>
  <c r="U77" i="6"/>
  <c r="Z77" i="6"/>
  <c r="T77" i="6"/>
  <c r="S77" i="6"/>
  <c r="X77" i="6"/>
  <c r="W84" i="6"/>
  <c r="U84" i="6"/>
  <c r="T84" i="6"/>
  <c r="S84" i="6"/>
  <c r="Z84" i="6"/>
  <c r="Y84" i="6"/>
  <c r="X84" i="6"/>
  <c r="V84" i="6"/>
  <c r="D7" i="6"/>
  <c r="AA7" i="6" s="1"/>
  <c r="P7" i="6" s="1"/>
  <c r="R7" i="6" s="1"/>
  <c r="D16" i="4"/>
  <c r="D14" i="3"/>
  <c r="F15" i="3" s="1"/>
  <c r="D22" i="6"/>
  <c r="AA22" i="6" s="1"/>
  <c r="P22" i="6" s="1"/>
  <c r="R22" i="6" s="1"/>
  <c r="D31" i="4"/>
  <c r="D44" i="6"/>
  <c r="AA44" i="6" s="1"/>
  <c r="P44" i="6" s="1"/>
  <c r="R44" i="6" s="1"/>
  <c r="D147" i="3"/>
  <c r="D54" i="6"/>
  <c r="AA54" i="6" s="1"/>
  <c r="P54" i="6" s="1"/>
  <c r="R54" i="6" s="1"/>
  <c r="D207" i="3"/>
  <c r="D56" i="4"/>
  <c r="D74" i="6"/>
  <c r="AA74" i="6" s="1"/>
  <c r="P74" i="6" s="1"/>
  <c r="R74" i="6" s="1"/>
  <c r="D295" i="3"/>
  <c r="D76" i="4"/>
  <c r="F47" i="3"/>
  <c r="F48" i="3"/>
  <c r="F49" i="3" s="1"/>
  <c r="F107" i="3"/>
  <c r="F106" i="3"/>
  <c r="F108" i="3" s="1"/>
  <c r="F105" i="3"/>
  <c r="K54" i="4"/>
  <c r="J54" i="4"/>
  <c r="L54" i="4"/>
  <c r="J59" i="4"/>
  <c r="M60" i="4"/>
  <c r="K63" i="4"/>
  <c r="J63" i="4"/>
  <c r="L63" i="4"/>
  <c r="T6" i="6"/>
  <c r="S6" i="6"/>
  <c r="U6" i="6"/>
  <c r="Z6" i="6"/>
  <c r="W6" i="6"/>
  <c r="V6" i="6"/>
  <c r="Y6" i="6"/>
  <c r="S96" i="6"/>
  <c r="Y96" i="6"/>
  <c r="V96" i="6"/>
  <c r="U96" i="6"/>
  <c r="X96" i="6"/>
  <c r="W96" i="6"/>
  <c r="Z96" i="6"/>
  <c r="T96" i="6"/>
  <c r="F234" i="3"/>
  <c r="F238" i="3"/>
  <c r="F347" i="3"/>
  <c r="G346" i="3"/>
  <c r="D10" i="6"/>
  <c r="AA10" i="6" s="1"/>
  <c r="P10" i="6" s="1"/>
  <c r="R10" i="6" s="1"/>
  <c r="D26" i="3"/>
  <c r="D19" i="4"/>
  <c r="D45" i="4"/>
  <c r="D151" i="3"/>
  <c r="D39" i="6"/>
  <c r="AA39" i="6" s="1"/>
  <c r="P39" i="6" s="1"/>
  <c r="R39" i="6" s="1"/>
  <c r="J72" i="4"/>
  <c r="K72" i="4"/>
  <c r="L72" i="4"/>
  <c r="W13" i="6"/>
  <c r="S13" i="6"/>
  <c r="X13" i="6"/>
  <c r="V13" i="6"/>
  <c r="Z13" i="6"/>
  <c r="U13" i="6"/>
  <c r="T13" i="6"/>
  <c r="F19" i="3"/>
  <c r="D94" i="3"/>
  <c r="F200" i="3"/>
  <c r="D309" i="3"/>
  <c r="L71" i="4"/>
  <c r="K71" i="4"/>
  <c r="J71" i="4"/>
  <c r="M71" i="4" s="1"/>
  <c r="K83" i="4"/>
  <c r="J83" i="4"/>
  <c r="L83" i="4"/>
  <c r="Y18" i="6"/>
  <c r="S18" i="6"/>
  <c r="W18" i="6"/>
  <c r="V18" i="6"/>
  <c r="U18" i="6"/>
  <c r="T18" i="6"/>
  <c r="Z18" i="6"/>
  <c r="U75" i="6"/>
  <c r="S75" i="6"/>
  <c r="V75" i="6"/>
  <c r="T75" i="6"/>
  <c r="Z75" i="6"/>
  <c r="Y75" i="6"/>
  <c r="X75" i="6"/>
  <c r="W75" i="6"/>
  <c r="D35" i="6"/>
  <c r="AA35" i="6" s="1"/>
  <c r="P35" i="6" s="1"/>
  <c r="R35" i="6" s="1"/>
  <c r="D138" i="3"/>
  <c r="D239" i="3"/>
  <c r="D66" i="4"/>
  <c r="D64" i="6"/>
  <c r="AA64" i="6" s="1"/>
  <c r="P64" i="6" s="1"/>
  <c r="R64" i="6" s="1"/>
  <c r="F12" i="3"/>
  <c r="D13" i="3" s="1"/>
  <c r="F11" i="3"/>
  <c r="F9" i="3" s="1"/>
  <c r="E9" i="3" s="1"/>
  <c r="L39" i="4"/>
  <c r="K39" i="4"/>
  <c r="J39" i="4"/>
  <c r="U26" i="6"/>
  <c r="Z26" i="6"/>
  <c r="Y26" i="6"/>
  <c r="W26" i="6"/>
  <c r="V26" i="6"/>
  <c r="X26" i="6"/>
  <c r="T26" i="6"/>
  <c r="U8" i="6"/>
  <c r="Z8" i="6"/>
  <c r="Y8" i="6"/>
  <c r="X8" i="6"/>
  <c r="W8" i="6"/>
  <c r="T8" i="6"/>
  <c r="S8" i="6"/>
  <c r="F217" i="3"/>
  <c r="F216" i="3" s="1"/>
  <c r="E216" i="3" s="1"/>
  <c r="D219" i="3"/>
  <c r="K10" i="4"/>
  <c r="J10" i="4"/>
  <c r="L10" i="4"/>
  <c r="D35" i="4"/>
  <c r="D109" i="3"/>
  <c r="U12" i="6"/>
  <c r="Y12" i="6"/>
  <c r="X12" i="6"/>
  <c r="Z12" i="6"/>
  <c r="W12" i="6"/>
  <c r="V12" i="6"/>
  <c r="T12" i="6"/>
  <c r="L74" i="4"/>
  <c r="K74" i="4"/>
  <c r="J74" i="4"/>
  <c r="M74" i="4" s="1"/>
  <c r="U32" i="6"/>
  <c r="S32" i="6"/>
  <c r="X32" i="6"/>
  <c r="W32" i="6"/>
  <c r="Y32" i="6"/>
  <c r="V32" i="6"/>
  <c r="S68" i="6"/>
  <c r="Y68" i="6"/>
  <c r="X68" i="6"/>
  <c r="W68" i="6"/>
  <c r="T68" i="6"/>
  <c r="Z68" i="6"/>
  <c r="V68" i="6"/>
  <c r="U68" i="6"/>
  <c r="F133" i="3"/>
  <c r="F131" i="3"/>
  <c r="L15" i="4"/>
  <c r="K15" i="4"/>
  <c r="L23" i="4"/>
  <c r="K23" i="4"/>
  <c r="J23" i="4"/>
  <c r="M23" i="4" s="1"/>
  <c r="D21" i="6"/>
  <c r="AA21" i="6" s="1"/>
  <c r="P21" i="6" s="1"/>
  <c r="R21" i="6" s="1"/>
  <c r="D30" i="4"/>
  <c r="D34" i="6"/>
  <c r="AA34" i="6" s="1"/>
  <c r="P34" i="6" s="1"/>
  <c r="R34" i="6" s="1"/>
  <c r="D40" i="4"/>
  <c r="D134" i="3"/>
  <c r="F157" i="3"/>
  <c r="F158" i="3" s="1"/>
  <c r="D53" i="6"/>
  <c r="AA53" i="6" s="1"/>
  <c r="P53" i="6" s="1"/>
  <c r="R53" i="6" s="1"/>
  <c r="D55" i="4"/>
  <c r="D65" i="4"/>
  <c r="D63" i="6"/>
  <c r="AA63" i="6" s="1"/>
  <c r="P63" i="6" s="1"/>
  <c r="R63" i="6" s="1"/>
  <c r="D72" i="6"/>
  <c r="AA72" i="6" s="1"/>
  <c r="P72" i="6" s="1"/>
  <c r="R72" i="6" s="1"/>
  <c r="D287" i="3"/>
  <c r="D82" i="6"/>
  <c r="AA82" i="6" s="1"/>
  <c r="P82" i="6" s="1"/>
  <c r="R82" i="6" s="1"/>
  <c r="D84" i="4"/>
  <c r="F223" i="3"/>
  <c r="F221" i="3"/>
  <c r="F220" i="3" s="1"/>
  <c r="E220" i="3" s="1"/>
  <c r="F334" i="3"/>
  <c r="G351" i="3"/>
  <c r="F348" i="3"/>
  <c r="E348" i="3" s="1"/>
  <c r="K43" i="4"/>
  <c r="L43" i="4"/>
  <c r="J43" i="4"/>
  <c r="L61" i="4"/>
  <c r="L59" i="4" s="1"/>
  <c r="V8" i="6"/>
  <c r="Y13" i="6"/>
  <c r="X18" i="6"/>
  <c r="Z32" i="6"/>
  <c r="F78" i="3"/>
  <c r="F72" i="3"/>
  <c r="F75" i="3"/>
  <c r="F74" i="3"/>
  <c r="D36" i="4"/>
  <c r="D77" i="4"/>
  <c r="X105" i="6"/>
  <c r="V105" i="6"/>
  <c r="Y105" i="6"/>
  <c r="W105" i="6"/>
  <c r="T105" i="6"/>
  <c r="S105" i="6"/>
  <c r="U105" i="6"/>
  <c r="Z105" i="6"/>
  <c r="T37" i="6"/>
  <c r="S37" i="6"/>
  <c r="Y37" i="6"/>
  <c r="X37" i="6"/>
  <c r="W37" i="6"/>
  <c r="D46" i="6"/>
  <c r="AA46" i="6" s="1"/>
  <c r="P46" i="6" s="1"/>
  <c r="R46" i="6" s="1"/>
  <c r="D48" i="4"/>
  <c r="L57" i="4"/>
  <c r="K57" i="4"/>
  <c r="D67" i="4"/>
  <c r="D65" i="6"/>
  <c r="AA65" i="6" s="1"/>
  <c r="P65" i="6" s="1"/>
  <c r="R65" i="6" s="1"/>
  <c r="L86" i="4"/>
  <c r="K86" i="4"/>
  <c r="M86" i="4" s="1"/>
  <c r="F76" i="3"/>
  <c r="D343" i="3"/>
  <c r="D51" i="4"/>
  <c r="T57" i="6"/>
  <c r="Z57" i="6"/>
  <c r="X57" i="6"/>
  <c r="W57" i="6"/>
  <c r="U57" i="6"/>
  <c r="S57" i="6"/>
  <c r="V57" i="6"/>
  <c r="D60" i="6"/>
  <c r="AA60" i="6" s="1"/>
  <c r="P60" i="6" s="1"/>
  <c r="R60" i="6" s="1"/>
  <c r="Z91" i="6"/>
  <c r="X91" i="6"/>
  <c r="Y91" i="6"/>
  <c r="W91" i="6"/>
  <c r="S91" i="6"/>
  <c r="U91" i="6"/>
  <c r="T91" i="6"/>
  <c r="H10" i="8"/>
  <c r="D10" i="8"/>
  <c r="M10" i="8"/>
  <c r="M13" i="8"/>
  <c r="W92" i="6"/>
  <c r="U92" i="6"/>
  <c r="Y92" i="6"/>
  <c r="X92" i="6"/>
  <c r="V92" i="6"/>
  <c r="T92" i="6"/>
  <c r="D20" i="4"/>
  <c r="D11" i="6"/>
  <c r="AA11" i="6" s="1"/>
  <c r="P11" i="6" s="1"/>
  <c r="R11" i="6" s="1"/>
  <c r="D266" i="3"/>
  <c r="D69" i="6"/>
  <c r="AA69" i="6" s="1"/>
  <c r="P69" i="6" s="1"/>
  <c r="R69" i="6" s="1"/>
  <c r="F262" i="3"/>
  <c r="F261" i="3"/>
  <c r="F265" i="3" s="1"/>
  <c r="K22" i="4"/>
  <c r="J22" i="4"/>
  <c r="M22" i="4" s="1"/>
  <c r="M28" i="4"/>
  <c r="X41" i="6"/>
  <c r="W41" i="6"/>
  <c r="Y41" i="6"/>
  <c r="S41" i="6"/>
  <c r="V41" i="6"/>
  <c r="U41" i="6"/>
  <c r="D51" i="6"/>
  <c r="AA51" i="6" s="1"/>
  <c r="P51" i="6" s="1"/>
  <c r="R51" i="6" s="1"/>
  <c r="D183" i="3"/>
  <c r="D70" i="6"/>
  <c r="AA70" i="6" s="1"/>
  <c r="P70" i="6" s="1"/>
  <c r="R70" i="6" s="1"/>
  <c r="D273" i="3"/>
  <c r="D79" i="6"/>
  <c r="AA79" i="6" s="1"/>
  <c r="P79" i="6" s="1"/>
  <c r="R79" i="6" s="1"/>
  <c r="D321" i="3"/>
  <c r="K91" i="4"/>
  <c r="J91" i="4"/>
  <c r="L91" i="4"/>
  <c r="D160" i="3"/>
  <c r="D223" i="3"/>
  <c r="F330" i="3"/>
  <c r="E330" i="3" s="1"/>
  <c r="F344" i="3"/>
  <c r="E344" i="3" s="1"/>
  <c r="D17" i="4"/>
  <c r="D53" i="4"/>
  <c r="V58" i="6"/>
  <c r="T58" i="6"/>
  <c r="S58" i="6"/>
  <c r="Y58" i="6"/>
  <c r="Z58" i="6"/>
  <c r="X58" i="6"/>
  <c r="W58" i="6"/>
  <c r="U58" i="6"/>
  <c r="J27" i="4"/>
  <c r="K27" i="4"/>
  <c r="D30" i="6"/>
  <c r="AA30" i="6" s="1"/>
  <c r="P30" i="6" s="1"/>
  <c r="R30" i="6" s="1"/>
  <c r="D114" i="3"/>
  <c r="D143" i="3"/>
  <c r="D46" i="4"/>
  <c r="D40" i="6"/>
  <c r="AA40" i="6" s="1"/>
  <c r="P40" i="6" s="1"/>
  <c r="R40" i="6" s="1"/>
  <c r="D78" i="6"/>
  <c r="AA78" i="6" s="1"/>
  <c r="P78" i="6" s="1"/>
  <c r="R78" i="6" s="1"/>
  <c r="D317" i="3"/>
  <c r="K60" i="4"/>
  <c r="J81" i="4"/>
  <c r="K81" i="4"/>
  <c r="E41" i="5"/>
  <c r="H6" i="5" s="1"/>
  <c r="E180" i="5"/>
  <c r="J9" i="5" s="1"/>
  <c r="L28" i="4"/>
  <c r="K28" i="4"/>
  <c r="D28" i="6"/>
  <c r="AA28" i="6" s="1"/>
  <c r="P28" i="6" s="1"/>
  <c r="R28" i="6" s="1"/>
  <c r="D37" i="4"/>
  <c r="D31" i="6"/>
  <c r="AA31" i="6" s="1"/>
  <c r="P31" i="6" s="1"/>
  <c r="R31" i="6" s="1"/>
  <c r="D123" i="3"/>
  <c r="D83" i="3"/>
  <c r="D20" i="6"/>
  <c r="AA20" i="6" s="1"/>
  <c r="P20" i="6" s="1"/>
  <c r="R20" i="6" s="1"/>
  <c r="D29" i="4"/>
  <c r="Z42" i="6"/>
  <c r="Y42" i="6"/>
  <c r="U42" i="6"/>
  <c r="X42" i="6"/>
  <c r="S42" i="6"/>
  <c r="D191" i="3"/>
  <c r="D52" i="6"/>
  <c r="AA52" i="6" s="1"/>
  <c r="P52" i="6" s="1"/>
  <c r="R52" i="6" s="1"/>
  <c r="D61" i="6"/>
  <c r="AA61" i="6" s="1"/>
  <c r="P61" i="6" s="1"/>
  <c r="R61" i="6" s="1"/>
  <c r="D228" i="3"/>
  <c r="D73" i="4"/>
  <c r="D280" i="3"/>
  <c r="D71" i="6"/>
  <c r="AA71" i="6" s="1"/>
  <c r="P71" i="6" s="1"/>
  <c r="R71" i="6" s="1"/>
  <c r="U81" i="6"/>
  <c r="S81" i="6"/>
  <c r="T81" i="6"/>
  <c r="V81" i="6"/>
  <c r="Z81" i="6"/>
  <c r="W81" i="6"/>
  <c r="D60" i="3"/>
  <c r="D177" i="3"/>
  <c r="D245" i="3"/>
  <c r="F260" i="3"/>
  <c r="F326" i="3"/>
  <c r="E326" i="3" s="1"/>
  <c r="F352" i="3"/>
  <c r="K12" i="4"/>
  <c r="M12" i="4" s="1"/>
  <c r="D21" i="4"/>
  <c r="D80" i="4"/>
  <c r="E143" i="5"/>
  <c r="J6" i="5" s="1"/>
  <c r="U37" i="6"/>
  <c r="T41" i="6"/>
  <c r="X81" i="6"/>
  <c r="X89" i="6"/>
  <c r="V89" i="6"/>
  <c r="Z89" i="6"/>
  <c r="Y89" i="6"/>
  <c r="W89" i="6"/>
  <c r="U89" i="6"/>
  <c r="J15" i="4"/>
  <c r="I15" i="4"/>
  <c r="E15" i="4" s="1"/>
  <c r="J91" i="5"/>
  <c r="J3" i="5" s="1"/>
  <c r="V87" i="6"/>
  <c r="T87" i="6"/>
  <c r="S87" i="6"/>
  <c r="U90" i="6"/>
  <c r="S90" i="6"/>
  <c r="Z90" i="6"/>
  <c r="Y90" i="6"/>
  <c r="D20" i="8"/>
  <c r="U106" i="6"/>
  <c r="S106" i="6"/>
  <c r="X106" i="6"/>
  <c r="W106" i="6"/>
  <c r="Y106" i="6"/>
  <c r="V106" i="6"/>
  <c r="T85" i="6"/>
  <c r="Z85" i="6"/>
  <c r="U85" i="6"/>
  <c r="S85" i="6"/>
  <c r="W85" i="6"/>
  <c r="V85" i="6"/>
  <c r="Y87" i="6"/>
  <c r="X90" i="6"/>
  <c r="X97" i="6"/>
  <c r="V97" i="6"/>
  <c r="T97" i="6"/>
  <c r="S97" i="6"/>
  <c r="Z97" i="6"/>
  <c r="T106" i="6"/>
  <c r="Y86" i="6"/>
  <c r="W86" i="6"/>
  <c r="T86" i="6"/>
  <c r="S86" i="6"/>
  <c r="Z86" i="6"/>
  <c r="X86" i="6"/>
  <c r="V86" i="6"/>
  <c r="V95" i="6"/>
  <c r="T95" i="6"/>
  <c r="X95" i="6"/>
  <c r="W95" i="6"/>
  <c r="U95" i="6"/>
  <c r="S95" i="6"/>
  <c r="Z106" i="6"/>
  <c r="F8" i="8"/>
  <c r="H8" i="8"/>
  <c r="D8" i="8"/>
  <c r="E20" i="5"/>
  <c r="T45" i="6"/>
  <c r="S45" i="6"/>
  <c r="W45" i="6"/>
  <c r="T93" i="6"/>
  <c r="Z93" i="6"/>
  <c r="X93" i="6"/>
  <c r="W93" i="6"/>
  <c r="U93" i="6"/>
  <c r="Y94" i="6"/>
  <c r="W94" i="6"/>
  <c r="X94" i="6"/>
  <c r="V94" i="6"/>
  <c r="Z94" i="6"/>
  <c r="U98" i="6"/>
  <c r="S98" i="6"/>
  <c r="T98" i="6"/>
  <c r="V98" i="6"/>
  <c r="Z99" i="6"/>
  <c r="X99" i="6"/>
  <c r="S99" i="6"/>
  <c r="V99" i="6"/>
  <c r="U99" i="6"/>
  <c r="T99" i="6"/>
  <c r="L21" i="8"/>
  <c r="M12" i="8" s="1"/>
  <c r="M6" i="8"/>
  <c r="M21" i="8" s="1"/>
  <c r="J20" i="5"/>
  <c r="E73" i="5"/>
  <c r="H8" i="5" s="1"/>
  <c r="U45" i="6"/>
  <c r="S93" i="6"/>
  <c r="W98" i="6"/>
  <c r="W100" i="6"/>
  <c r="U100" i="6"/>
  <c r="X100" i="6"/>
  <c r="Y100" i="6"/>
  <c r="V100" i="6"/>
  <c r="Y102" i="6"/>
  <c r="W102" i="6"/>
  <c r="Z102" i="6"/>
  <c r="Z107" i="6"/>
  <c r="X107" i="6"/>
  <c r="V107" i="6"/>
  <c r="U107" i="6"/>
  <c r="S107" i="6"/>
  <c r="S104" i="6"/>
  <c r="Y104" i="6"/>
  <c r="Z104" i="6"/>
  <c r="X104" i="6"/>
  <c r="T101" i="6"/>
  <c r="Z101" i="6"/>
  <c r="X101" i="6"/>
  <c r="V103" i="6"/>
  <c r="T103" i="6"/>
  <c r="Z103" i="6"/>
  <c r="Y103" i="6"/>
  <c r="T104" i="6"/>
  <c r="S83" i="6"/>
  <c r="Y83" i="6"/>
  <c r="W83" i="6"/>
  <c r="V83" i="6"/>
  <c r="S88" i="6"/>
  <c r="Y88" i="6"/>
  <c r="F13" i="8"/>
  <c r="M16" i="8"/>
  <c r="F12" i="8"/>
  <c r="M15" i="8"/>
  <c r="D16" i="8"/>
  <c r="F16" i="8"/>
  <c r="D15" i="8"/>
  <c r="H5" i="5" l="1"/>
  <c r="H4" i="5"/>
  <c r="L26" i="4"/>
  <c r="H2" i="5"/>
  <c r="C5" i="7" s="1"/>
  <c r="F174" i="3"/>
  <c r="F173" i="3"/>
  <c r="F176" i="3"/>
  <c r="M87" i="4"/>
  <c r="Z56" i="6"/>
  <c r="X56" i="6"/>
  <c r="T56" i="6"/>
  <c r="S56" i="6"/>
  <c r="U56" i="6"/>
  <c r="Y56" i="6"/>
  <c r="W56" i="6"/>
  <c r="V56" i="6"/>
  <c r="L18" i="4"/>
  <c r="K18" i="4"/>
  <c r="J18" i="4"/>
  <c r="M18" i="4" s="1"/>
  <c r="Y16" i="6"/>
  <c r="Z16" i="6"/>
  <c r="X16" i="6"/>
  <c r="V16" i="6"/>
  <c r="U16" i="6"/>
  <c r="W16" i="6"/>
  <c r="T16" i="6"/>
  <c r="S16" i="6"/>
  <c r="F155" i="3"/>
  <c r="E155" i="3" s="1"/>
  <c r="F259" i="3"/>
  <c r="E259" i="3" s="1"/>
  <c r="D265" i="3"/>
  <c r="V52" i="6"/>
  <c r="T52" i="6"/>
  <c r="S52" i="6"/>
  <c r="W52" i="6"/>
  <c r="X52" i="6"/>
  <c r="U52" i="6"/>
  <c r="Z52" i="6"/>
  <c r="Y52" i="6"/>
  <c r="J46" i="4"/>
  <c r="K46" i="4"/>
  <c r="L46" i="4"/>
  <c r="U79" i="6"/>
  <c r="S79" i="6"/>
  <c r="Z79" i="6"/>
  <c r="Y79" i="6"/>
  <c r="W79" i="6"/>
  <c r="T79" i="6"/>
  <c r="X79" i="6"/>
  <c r="V79" i="6"/>
  <c r="M83" i="4"/>
  <c r="J82" i="4"/>
  <c r="F27" i="3"/>
  <c r="F32" i="3"/>
  <c r="F29" i="3"/>
  <c r="F28" i="3"/>
  <c r="S7" i="6"/>
  <c r="W7" i="6"/>
  <c r="V7" i="6"/>
  <c r="Z7" i="6"/>
  <c r="Y7" i="6"/>
  <c r="X7" i="6"/>
  <c r="U7" i="6"/>
  <c r="T7" i="6"/>
  <c r="Y67" i="6"/>
  <c r="W67" i="6"/>
  <c r="U67" i="6"/>
  <c r="X67" i="6"/>
  <c r="V67" i="6"/>
  <c r="S67" i="6"/>
  <c r="T67" i="6"/>
  <c r="Z67" i="6"/>
  <c r="F363" i="3"/>
  <c r="F357" i="3"/>
  <c r="F359" i="3"/>
  <c r="F54" i="3"/>
  <c r="F56" i="3"/>
  <c r="F358" i="3"/>
  <c r="F362" i="3"/>
  <c r="F364" i="3"/>
  <c r="F57" i="3"/>
  <c r="F53" i="3"/>
  <c r="F52" i="3"/>
  <c r="F356" i="3"/>
  <c r="F192" i="3"/>
  <c r="F198" i="3"/>
  <c r="L84" i="4"/>
  <c r="K84" i="4"/>
  <c r="J84" i="4"/>
  <c r="Z54" i="6"/>
  <c r="X54" i="6"/>
  <c r="V54" i="6"/>
  <c r="U54" i="6"/>
  <c r="W54" i="6"/>
  <c r="T54" i="6"/>
  <c r="Y54" i="6"/>
  <c r="S54" i="6"/>
  <c r="D35" i="3"/>
  <c r="F31" i="3"/>
  <c r="E31" i="3" s="1"/>
  <c r="M44" i="4"/>
  <c r="S11" i="6"/>
  <c r="U11" i="6"/>
  <c r="T11" i="6"/>
  <c r="Z11" i="6"/>
  <c r="V11" i="6"/>
  <c r="W11" i="6"/>
  <c r="Y11" i="6"/>
  <c r="X11" i="6"/>
  <c r="W64" i="6"/>
  <c r="U64" i="6"/>
  <c r="Z64" i="6"/>
  <c r="Y64" i="6"/>
  <c r="X64" i="6"/>
  <c r="V64" i="6"/>
  <c r="T64" i="6"/>
  <c r="S64" i="6"/>
  <c r="F148" i="3"/>
  <c r="F149" i="3"/>
  <c r="F150" i="3" s="1"/>
  <c r="M61" i="4"/>
  <c r="Y71" i="6"/>
  <c r="W71" i="6"/>
  <c r="V71" i="6"/>
  <c r="U71" i="6"/>
  <c r="T71" i="6"/>
  <c r="S71" i="6"/>
  <c r="Z71" i="6"/>
  <c r="X71" i="6"/>
  <c r="S31" i="6"/>
  <c r="X31" i="6"/>
  <c r="Z31" i="6"/>
  <c r="Y31" i="6"/>
  <c r="W31" i="6"/>
  <c r="V31" i="6"/>
  <c r="T31" i="6"/>
  <c r="U31" i="6"/>
  <c r="K20" i="4"/>
  <c r="J20" i="4"/>
  <c r="L20" i="4"/>
  <c r="F136" i="3"/>
  <c r="F137" i="3"/>
  <c r="F135" i="3"/>
  <c r="J66" i="4"/>
  <c r="K66" i="4"/>
  <c r="L66" i="4"/>
  <c r="Z44" i="6"/>
  <c r="Y44" i="6"/>
  <c r="U44" i="6"/>
  <c r="T44" i="6"/>
  <c r="S44" i="6"/>
  <c r="V44" i="6"/>
  <c r="X44" i="6"/>
  <c r="W44" i="6"/>
  <c r="F79" i="3"/>
  <c r="F88" i="3"/>
  <c r="F67" i="3"/>
  <c r="F62" i="3"/>
  <c r="F65" i="3"/>
  <c r="F61" i="3"/>
  <c r="F60" i="3" s="1"/>
  <c r="E60" i="3" s="1"/>
  <c r="F68" i="3"/>
  <c r="F66" i="3"/>
  <c r="F64" i="3"/>
  <c r="F63" i="3"/>
  <c r="F69" i="3" s="1"/>
  <c r="F80" i="3"/>
  <c r="T51" i="6"/>
  <c r="Z51" i="6"/>
  <c r="X51" i="6"/>
  <c r="W51" i="6"/>
  <c r="V51" i="6"/>
  <c r="U51" i="6"/>
  <c r="S51" i="6"/>
  <c r="Y51" i="6"/>
  <c r="S72" i="6"/>
  <c r="Y72" i="6"/>
  <c r="T72" i="6"/>
  <c r="X72" i="6"/>
  <c r="W72" i="6"/>
  <c r="U72" i="6"/>
  <c r="Z72" i="6"/>
  <c r="V72" i="6"/>
  <c r="K40" i="4"/>
  <c r="L40" i="4"/>
  <c r="L38" i="4" s="1"/>
  <c r="J40" i="4"/>
  <c r="M54" i="4"/>
  <c r="L31" i="4"/>
  <c r="K31" i="4"/>
  <c r="J31" i="4"/>
  <c r="M90" i="4"/>
  <c r="Y14" i="6"/>
  <c r="W14" i="6"/>
  <c r="V14" i="6"/>
  <c r="T14" i="6"/>
  <c r="S14" i="6"/>
  <c r="Z14" i="6"/>
  <c r="X14" i="6"/>
  <c r="U14" i="6"/>
  <c r="K78" i="4"/>
  <c r="L78" i="4"/>
  <c r="J78" i="4"/>
  <c r="F169" i="3"/>
  <c r="F171" i="3" s="1"/>
  <c r="F168" i="3"/>
  <c r="M15" i="4"/>
  <c r="U20" i="6"/>
  <c r="Z20" i="6"/>
  <c r="S20" i="6"/>
  <c r="X20" i="6"/>
  <c r="W20" i="6"/>
  <c r="V20" i="6"/>
  <c r="T20" i="6"/>
  <c r="Y20" i="6"/>
  <c r="U69" i="6"/>
  <c r="S69" i="6"/>
  <c r="V69" i="6"/>
  <c r="T69" i="6"/>
  <c r="Z69" i="6"/>
  <c r="Y69" i="6"/>
  <c r="X69" i="6"/>
  <c r="W69" i="6"/>
  <c r="F208" i="3"/>
  <c r="F214" i="3"/>
  <c r="F250" i="3"/>
  <c r="F246" i="3"/>
  <c r="F269" i="3"/>
  <c r="F271" i="3"/>
  <c r="F272" i="3" s="1"/>
  <c r="F268" i="3"/>
  <c r="F267" i="3"/>
  <c r="F270" i="3"/>
  <c r="K82" i="4"/>
  <c r="L58" i="4"/>
  <c r="J58" i="4"/>
  <c r="K58" i="4"/>
  <c r="F302" i="3"/>
  <c r="E302" i="3" s="1"/>
  <c r="D308" i="3"/>
  <c r="F124" i="3"/>
  <c r="F126" i="3"/>
  <c r="F125" i="3"/>
  <c r="F128" i="3" s="1"/>
  <c r="F115" i="3"/>
  <c r="F117" i="3"/>
  <c r="F122" i="3" s="1"/>
  <c r="F116" i="3"/>
  <c r="Y65" i="6"/>
  <c r="W65" i="6"/>
  <c r="X65" i="6"/>
  <c r="V65" i="6"/>
  <c r="Z65" i="6"/>
  <c r="U65" i="6"/>
  <c r="T65" i="6"/>
  <c r="S65" i="6"/>
  <c r="W82" i="6"/>
  <c r="U82" i="6"/>
  <c r="Z82" i="6"/>
  <c r="Y82" i="6"/>
  <c r="T82" i="6"/>
  <c r="S82" i="6"/>
  <c r="X82" i="6"/>
  <c r="V82" i="6"/>
  <c r="M72" i="4"/>
  <c r="D82" i="3"/>
  <c r="Y30" i="6"/>
  <c r="T30" i="6"/>
  <c r="V30" i="6"/>
  <c r="U30" i="6"/>
  <c r="Z30" i="6"/>
  <c r="X30" i="6"/>
  <c r="W30" i="6"/>
  <c r="S30" i="6"/>
  <c r="F184" i="3"/>
  <c r="F190" i="3"/>
  <c r="L67" i="4"/>
  <c r="J67" i="4"/>
  <c r="K67" i="4"/>
  <c r="F46" i="3"/>
  <c r="E46" i="3" s="1"/>
  <c r="D49" i="3"/>
  <c r="K8" i="4"/>
  <c r="D45" i="3"/>
  <c r="F41" i="3"/>
  <c r="E41" i="3" s="1"/>
  <c r="K59" i="4"/>
  <c r="L14" i="4"/>
  <c r="F240" i="3"/>
  <c r="F244" i="3"/>
  <c r="T39" i="6"/>
  <c r="S39" i="6"/>
  <c r="W39" i="6"/>
  <c r="X39" i="6"/>
  <c r="V39" i="6"/>
  <c r="Y39" i="6"/>
  <c r="U39" i="6"/>
  <c r="Z39" i="6"/>
  <c r="L76" i="4"/>
  <c r="K76" i="4"/>
  <c r="J76" i="4"/>
  <c r="D103" i="3"/>
  <c r="F99" i="3"/>
  <c r="E99" i="3" s="1"/>
  <c r="Z48" i="6"/>
  <c r="X48" i="6"/>
  <c r="W48" i="6"/>
  <c r="V48" i="6"/>
  <c r="T48" i="6"/>
  <c r="S48" i="6"/>
  <c r="Y48" i="6"/>
  <c r="U48" i="6"/>
  <c r="L8" i="4"/>
  <c r="D19" i="8"/>
  <c r="D21" i="8" s="1"/>
  <c r="K73" i="4"/>
  <c r="L73" i="4"/>
  <c r="J73" i="4"/>
  <c r="Y28" i="6"/>
  <c r="Z28" i="6"/>
  <c r="V28" i="6"/>
  <c r="U28" i="6"/>
  <c r="X28" i="6"/>
  <c r="W28" i="6"/>
  <c r="T28" i="6"/>
  <c r="S28" i="6"/>
  <c r="F319" i="3"/>
  <c r="F320" i="3" s="1"/>
  <c r="F318" i="3"/>
  <c r="M27" i="4"/>
  <c r="M91" i="4"/>
  <c r="W60" i="6"/>
  <c r="U60" i="6"/>
  <c r="X60" i="6"/>
  <c r="V60" i="6"/>
  <c r="T60" i="6"/>
  <c r="S60" i="6"/>
  <c r="Z60" i="6"/>
  <c r="Y60" i="6"/>
  <c r="L51" i="4"/>
  <c r="J51" i="4"/>
  <c r="K51" i="4"/>
  <c r="J77" i="4"/>
  <c r="K77" i="4"/>
  <c r="L77" i="4"/>
  <c r="U63" i="6"/>
  <c r="S63" i="6"/>
  <c r="W63" i="6"/>
  <c r="V63" i="6"/>
  <c r="Z63" i="6"/>
  <c r="Y63" i="6"/>
  <c r="X63" i="6"/>
  <c r="T63" i="6"/>
  <c r="U34" i="6"/>
  <c r="T34" i="6"/>
  <c r="Z34" i="6"/>
  <c r="Y34" i="6"/>
  <c r="W34" i="6"/>
  <c r="V34" i="6"/>
  <c r="S34" i="6"/>
  <c r="X34" i="6"/>
  <c r="D133" i="3"/>
  <c r="F130" i="3"/>
  <c r="E130" i="3" s="1"/>
  <c r="J38" i="4"/>
  <c r="M39" i="4"/>
  <c r="F140" i="3"/>
  <c r="F141" i="3" s="1"/>
  <c r="F139" i="3"/>
  <c r="F311" i="3"/>
  <c r="F309" i="3" s="1"/>
  <c r="E309" i="3" s="1"/>
  <c r="F310" i="3"/>
  <c r="D312" i="3" s="1"/>
  <c r="F312" i="3"/>
  <c r="F153" i="3"/>
  <c r="F154" i="3" s="1"/>
  <c r="F152" i="3"/>
  <c r="F233" i="3"/>
  <c r="E233" i="3" s="1"/>
  <c r="D238" i="3"/>
  <c r="F300" i="3"/>
  <c r="F299" i="3"/>
  <c r="F298" i="3"/>
  <c r="F296" i="3"/>
  <c r="F297" i="3"/>
  <c r="F301" i="3" s="1"/>
  <c r="Y22" i="6"/>
  <c r="Z22" i="6"/>
  <c r="X22" i="6"/>
  <c r="W22" i="6"/>
  <c r="V22" i="6"/>
  <c r="U22" i="6"/>
  <c r="S22" i="6"/>
  <c r="T22" i="6"/>
  <c r="J89" i="4"/>
  <c r="W76" i="6"/>
  <c r="U76" i="6"/>
  <c r="Z76" i="6"/>
  <c r="Y76" i="6"/>
  <c r="X76" i="6"/>
  <c r="V76" i="6"/>
  <c r="T76" i="6"/>
  <c r="S76" i="6"/>
  <c r="X47" i="6"/>
  <c r="V47" i="6"/>
  <c r="Z47" i="6"/>
  <c r="Y47" i="6"/>
  <c r="S47" i="6"/>
  <c r="W47" i="6"/>
  <c r="U47" i="6"/>
  <c r="T47" i="6"/>
  <c r="M9" i="4"/>
  <c r="J8" i="4"/>
  <c r="S78" i="6"/>
  <c r="Y78" i="6"/>
  <c r="T78" i="6"/>
  <c r="X78" i="6"/>
  <c r="U78" i="6"/>
  <c r="Z78" i="6"/>
  <c r="W78" i="6"/>
  <c r="V78" i="6"/>
  <c r="K53" i="4"/>
  <c r="L53" i="4"/>
  <c r="J53" i="4"/>
  <c r="L48" i="4"/>
  <c r="J48" i="4"/>
  <c r="K48" i="4"/>
  <c r="L65" i="4"/>
  <c r="K65" i="4"/>
  <c r="J65" i="4"/>
  <c r="J30" i="4"/>
  <c r="L30" i="4"/>
  <c r="K30" i="4"/>
  <c r="K38" i="4"/>
  <c r="X35" i="6"/>
  <c r="W35" i="6"/>
  <c r="Z35" i="6"/>
  <c r="U35" i="6"/>
  <c r="T35" i="6"/>
  <c r="V35" i="6"/>
  <c r="S35" i="6"/>
  <c r="Y35" i="6"/>
  <c r="F199" i="3"/>
  <c r="E199" i="3" s="1"/>
  <c r="D206" i="3"/>
  <c r="L45" i="4"/>
  <c r="K45" i="4"/>
  <c r="K42" i="4" s="1"/>
  <c r="J45" i="4"/>
  <c r="D108" i="3"/>
  <c r="F104" i="3"/>
  <c r="E104" i="3" s="1"/>
  <c r="S74" i="6"/>
  <c r="Y74" i="6"/>
  <c r="X74" i="6"/>
  <c r="W74" i="6"/>
  <c r="Z74" i="6"/>
  <c r="V74" i="6"/>
  <c r="T74" i="6"/>
  <c r="U74" i="6"/>
  <c r="F14" i="3"/>
  <c r="E14" i="3" s="1"/>
  <c r="D16" i="3"/>
  <c r="F18" i="3" s="1"/>
  <c r="M62" i="4"/>
  <c r="M79" i="4"/>
  <c r="L69" i="4"/>
  <c r="L68" i="4" s="1"/>
  <c r="J69" i="4"/>
  <c r="K69" i="4"/>
  <c r="K68" i="4" s="1"/>
  <c r="J34" i="4"/>
  <c r="J32" i="4" s="1"/>
  <c r="L34" i="4"/>
  <c r="L32" i="4" s="1"/>
  <c r="K34" i="4"/>
  <c r="K32" i="4" s="1"/>
  <c r="X53" i="6"/>
  <c r="V53" i="6"/>
  <c r="Z53" i="6"/>
  <c r="Y53" i="6"/>
  <c r="T53" i="6"/>
  <c r="S53" i="6"/>
  <c r="W53" i="6"/>
  <c r="U53" i="6"/>
  <c r="K35" i="4"/>
  <c r="L35" i="4"/>
  <c r="J35" i="4"/>
  <c r="F24" i="3"/>
  <c r="D25" i="3" s="1"/>
  <c r="F23" i="3"/>
  <c r="F22" i="3" s="1"/>
  <c r="E22" i="3" s="1"/>
  <c r="F92" i="3"/>
  <c r="F93" i="3" s="1"/>
  <c r="F91" i="3"/>
  <c r="F86" i="3"/>
  <c r="F84" i="3"/>
  <c r="F85" i="3"/>
  <c r="F89" i="3" s="1"/>
  <c r="F96" i="3"/>
  <c r="F95" i="3"/>
  <c r="F87" i="3"/>
  <c r="F144" i="3"/>
  <c r="F145" i="3"/>
  <c r="F146" i="3" s="1"/>
  <c r="F291" i="3"/>
  <c r="F281" i="3"/>
  <c r="F290" i="3"/>
  <c r="F276" i="3"/>
  <c r="F279" i="3" s="1"/>
  <c r="F289" i="3"/>
  <c r="F293" i="3" s="1"/>
  <c r="F275" i="3"/>
  <c r="F284" i="3"/>
  <c r="F278" i="3"/>
  <c r="F292" i="3"/>
  <c r="F285" i="3"/>
  <c r="F277" i="3"/>
  <c r="F288" i="3"/>
  <c r="F283" i="3"/>
  <c r="F274" i="3"/>
  <c r="F282" i="3"/>
  <c r="J42" i="4"/>
  <c r="M43" i="4"/>
  <c r="Y10" i="6"/>
  <c r="Z10" i="6"/>
  <c r="X10" i="6"/>
  <c r="T10" i="6"/>
  <c r="S10" i="6"/>
  <c r="W10" i="6"/>
  <c r="V10" i="6"/>
  <c r="U10" i="6"/>
  <c r="M59" i="4"/>
  <c r="W9" i="6"/>
  <c r="U9" i="6"/>
  <c r="T9" i="6"/>
  <c r="X9" i="6"/>
  <c r="V9" i="6"/>
  <c r="Z9" i="6"/>
  <c r="Y9" i="6"/>
  <c r="S9" i="6"/>
  <c r="J25" i="4"/>
  <c r="L25" i="4"/>
  <c r="L24" i="4" s="1"/>
  <c r="K25" i="4"/>
  <c r="K24" i="4" s="1"/>
  <c r="F178" i="3"/>
  <c r="F179" i="3"/>
  <c r="F181" i="3"/>
  <c r="W70" i="6"/>
  <c r="U70" i="6"/>
  <c r="Z70" i="6"/>
  <c r="S70" i="6"/>
  <c r="Y70" i="6"/>
  <c r="X70" i="6"/>
  <c r="V70" i="6"/>
  <c r="T70" i="6"/>
  <c r="L42" i="4"/>
  <c r="M10" i="4"/>
  <c r="L80" i="4"/>
  <c r="K80" i="4"/>
  <c r="J80" i="4"/>
  <c r="M81" i="4"/>
  <c r="F161" i="3"/>
  <c r="F162" i="3"/>
  <c r="F166" i="3" s="1"/>
  <c r="L50" i="4"/>
  <c r="J50" i="4"/>
  <c r="K50" i="4"/>
  <c r="L49" i="4"/>
  <c r="J49" i="4"/>
  <c r="K49" i="4"/>
  <c r="M33" i="4"/>
  <c r="L21" i="4"/>
  <c r="K21" i="4"/>
  <c r="J21" i="4"/>
  <c r="M21" i="4" s="1"/>
  <c r="F286" i="3"/>
  <c r="L37" i="4"/>
  <c r="K37" i="4"/>
  <c r="J37" i="4"/>
  <c r="F229" i="3"/>
  <c r="F228" i="3" s="1"/>
  <c r="E228" i="3" s="1"/>
  <c r="D231" i="3"/>
  <c r="H19" i="8"/>
  <c r="F19" i="8"/>
  <c r="M8" i="8"/>
  <c r="Y61" i="6"/>
  <c r="W61" i="6"/>
  <c r="S61" i="6"/>
  <c r="X61" i="6"/>
  <c r="V61" i="6"/>
  <c r="T61" i="6"/>
  <c r="Z61" i="6"/>
  <c r="U61" i="6"/>
  <c r="L29" i="4"/>
  <c r="K29" i="4"/>
  <c r="K26" i="4" s="1"/>
  <c r="J29" i="4"/>
  <c r="J26" i="4" s="1"/>
  <c r="V40" i="6"/>
  <c r="U40" i="6"/>
  <c r="T40" i="6"/>
  <c r="S40" i="6"/>
  <c r="W40" i="6"/>
  <c r="X40" i="6"/>
  <c r="Y40" i="6"/>
  <c r="Z40" i="6"/>
  <c r="J17" i="4"/>
  <c r="L17" i="4"/>
  <c r="K17" i="4"/>
  <c r="K14" i="4" s="1"/>
  <c r="F323" i="3"/>
  <c r="F324" i="3" s="1"/>
  <c r="F322" i="3"/>
  <c r="T46" i="6"/>
  <c r="W46" i="6"/>
  <c r="V46" i="6"/>
  <c r="S46" i="6"/>
  <c r="U46" i="6"/>
  <c r="Z46" i="6"/>
  <c r="Y46" i="6"/>
  <c r="X46" i="6"/>
  <c r="J36" i="4"/>
  <c r="L36" i="4"/>
  <c r="K36" i="4"/>
  <c r="J55" i="4"/>
  <c r="L55" i="4"/>
  <c r="K55" i="4"/>
  <c r="W21" i="6"/>
  <c r="U21" i="6"/>
  <c r="T21" i="6"/>
  <c r="Z21" i="6"/>
  <c r="X21" i="6"/>
  <c r="V21" i="6"/>
  <c r="Y21" i="6"/>
  <c r="S21" i="6"/>
  <c r="F110" i="3"/>
  <c r="F112" i="3"/>
  <c r="F113" i="3"/>
  <c r="F111" i="3"/>
  <c r="L82" i="4"/>
  <c r="F97" i="3"/>
  <c r="L19" i="4"/>
  <c r="K19" i="4"/>
  <c r="J19" i="4"/>
  <c r="M63" i="4"/>
  <c r="J56" i="4"/>
  <c r="L56" i="4"/>
  <c r="K56" i="4"/>
  <c r="J16" i="4"/>
  <c r="M16" i="4" s="1"/>
  <c r="L16" i="4"/>
  <c r="K16" i="4"/>
  <c r="L89" i="4"/>
  <c r="F257" i="3"/>
  <c r="F254" i="3"/>
  <c r="F258" i="3" s="1"/>
  <c r="F253" i="3"/>
  <c r="F256" i="3"/>
  <c r="F255" i="3"/>
  <c r="S25" i="6"/>
  <c r="W25" i="6"/>
  <c r="V25" i="6"/>
  <c r="Y25" i="6"/>
  <c r="X25" i="6"/>
  <c r="U25" i="6"/>
  <c r="T25" i="6"/>
  <c r="Z25" i="6"/>
  <c r="M85" i="4"/>
  <c r="M48" i="4" l="1"/>
  <c r="J47" i="4"/>
  <c r="F317" i="3"/>
  <c r="E317" i="3" s="1"/>
  <c r="D320" i="3"/>
  <c r="D258" i="3"/>
  <c r="F252" i="3"/>
  <c r="E252" i="3" s="1"/>
  <c r="M55" i="4"/>
  <c r="L47" i="4"/>
  <c r="M67" i="4"/>
  <c r="M50" i="4"/>
  <c r="F280" i="3"/>
  <c r="E280" i="3" s="1"/>
  <c r="D286" i="3"/>
  <c r="M53" i="4"/>
  <c r="J52" i="4"/>
  <c r="M36" i="4"/>
  <c r="M65" i="4"/>
  <c r="J64" i="4"/>
  <c r="D171" i="3"/>
  <c r="F167" i="3"/>
  <c r="E167" i="3" s="1"/>
  <c r="D137" i="3"/>
  <c r="F134" i="3"/>
  <c r="E134" i="3" s="1"/>
  <c r="D58" i="3"/>
  <c r="M37" i="4"/>
  <c r="K64" i="4"/>
  <c r="L75" i="4"/>
  <c r="L92" i="4" s="1"/>
  <c r="F361" i="3"/>
  <c r="F30" i="3"/>
  <c r="D30" i="3"/>
  <c r="F26" i="3"/>
  <c r="E26" i="3" s="1"/>
  <c r="M46" i="4"/>
  <c r="F94" i="3"/>
  <c r="E94" i="3" s="1"/>
  <c r="D97" i="3"/>
  <c r="F138" i="3"/>
  <c r="E138" i="3" s="1"/>
  <c r="D141" i="3"/>
  <c r="M34" i="4"/>
  <c r="F151" i="3"/>
  <c r="E151" i="3" s="1"/>
  <c r="D154" i="3"/>
  <c r="M77" i="4"/>
  <c r="D301" i="3"/>
  <c r="F295" i="3"/>
  <c r="E295" i="3" s="1"/>
  <c r="K52" i="4"/>
  <c r="K75" i="4"/>
  <c r="D190" i="3"/>
  <c r="F183" i="3"/>
  <c r="E183" i="3" s="1"/>
  <c r="D69" i="3"/>
  <c r="M19" i="4"/>
  <c r="D324" i="3"/>
  <c r="F321" i="3"/>
  <c r="E321" i="3" s="1"/>
  <c r="F109" i="3"/>
  <c r="E109" i="3" s="1"/>
  <c r="D113" i="3"/>
  <c r="M25" i="4"/>
  <c r="J24" i="4"/>
  <c r="D279" i="3"/>
  <c r="F273" i="3"/>
  <c r="E273" i="3" s="1"/>
  <c r="F143" i="3"/>
  <c r="E143" i="3" s="1"/>
  <c r="D146" i="3"/>
  <c r="F90" i="3"/>
  <c r="E90" i="3" s="1"/>
  <c r="D93" i="3"/>
  <c r="L64" i="4"/>
  <c r="F123" i="3"/>
  <c r="E123" i="3" s="1"/>
  <c r="D128" i="3"/>
  <c r="D272" i="3"/>
  <c r="F266" i="3"/>
  <c r="E266" i="3" s="1"/>
  <c r="F207" i="3"/>
  <c r="E207" i="3" s="1"/>
  <c r="D214" i="3"/>
  <c r="F147" i="3"/>
  <c r="E147" i="3" s="1"/>
  <c r="D150" i="3"/>
  <c r="D198" i="3"/>
  <c r="F191" i="3"/>
  <c r="E191" i="3" s="1"/>
  <c r="D176" i="3"/>
  <c r="F172" i="3"/>
  <c r="E172" i="3" s="1"/>
  <c r="M20" i="4"/>
  <c r="M17" i="4"/>
  <c r="M14" i="4" s="1"/>
  <c r="M49" i="4"/>
  <c r="F17" i="3"/>
  <c r="E17" i="3" s="1"/>
  <c r="D21" i="3"/>
  <c r="K47" i="4"/>
  <c r="M8" i="4"/>
  <c r="F239" i="3"/>
  <c r="E239" i="3" s="1"/>
  <c r="D244" i="3"/>
  <c r="M78" i="4"/>
  <c r="M40" i="4"/>
  <c r="M38" i="4" s="1"/>
  <c r="F355" i="3"/>
  <c r="F287" i="3"/>
  <c r="E287" i="3" s="1"/>
  <c r="D293" i="3"/>
  <c r="F160" i="3"/>
  <c r="E160" i="3" s="1"/>
  <c r="D166" i="3"/>
  <c r="D122" i="3"/>
  <c r="F114" i="3"/>
  <c r="E114" i="3" s="1"/>
  <c r="M58" i="4"/>
  <c r="J14" i="4"/>
  <c r="M89" i="4"/>
  <c r="M84" i="4"/>
  <c r="M82" i="4"/>
  <c r="M56" i="4"/>
  <c r="M29" i="4"/>
  <c r="F231" i="3"/>
  <c r="M80" i="4"/>
  <c r="F177" i="3"/>
  <c r="E177" i="3" s="1"/>
  <c r="D181" i="3"/>
  <c r="D89" i="3"/>
  <c r="F83" i="3"/>
  <c r="E83" i="3" s="1"/>
  <c r="M35" i="4"/>
  <c r="M32" i="4" s="1"/>
  <c r="M69" i="4"/>
  <c r="J68" i="4"/>
  <c r="M45" i="4"/>
  <c r="M42" i="4" s="1"/>
  <c r="M30" i="4"/>
  <c r="L52" i="4"/>
  <c r="M51" i="4"/>
  <c r="M73" i="4"/>
  <c r="M76" i="4"/>
  <c r="J75" i="4"/>
  <c r="J92" i="4" s="1"/>
  <c r="D250" i="3"/>
  <c r="F245" i="3"/>
  <c r="E245" i="3" s="1"/>
  <c r="M31" i="4"/>
  <c r="M66" i="4"/>
  <c r="E361" i="3" l="1"/>
  <c r="E81" i="3"/>
  <c r="F81" i="3" s="1"/>
  <c r="M24" i="4"/>
  <c r="E55" i="3"/>
  <c r="F55" i="3" s="1"/>
  <c r="E355" i="3"/>
  <c r="K92" i="4"/>
  <c r="M92" i="4"/>
  <c r="M94" i="4" s="1"/>
  <c r="C4" i="7" s="1"/>
  <c r="M47" i="4"/>
  <c r="M52" i="4"/>
  <c r="M68" i="4"/>
  <c r="M75" i="4"/>
  <c r="M26" i="4"/>
  <c r="M64" i="4"/>
  <c r="C7" i="7" l="1"/>
  <c r="D4" i="7" s="1"/>
  <c r="F82" i="3"/>
  <c r="F70" i="3"/>
  <c r="E70" i="3" s="1"/>
  <c r="F58" i="3"/>
  <c r="F51" i="3"/>
  <c r="E51" i="3" s="1"/>
  <c r="C11" i="7" l="1"/>
  <c r="C9" i="7"/>
  <c r="C10" i="7"/>
  <c r="D5" i="7"/>
  <c r="E9" i="7" l="1"/>
  <c r="C13" i="7"/>
  <c r="C27" i="7" s="1"/>
  <c r="D19" i="7" l="1"/>
  <c r="D24" i="7"/>
  <c r="D15" i="7"/>
  <c r="D20" i="7"/>
  <c r="I4" i="7"/>
  <c r="D18" i="7"/>
  <c r="D17" i="7"/>
  <c r="D16" i="7"/>
  <c r="C28" i="7"/>
  <c r="N96" i="4" s="1"/>
  <c r="D22" i="7" l="1"/>
  <c r="D25" i="7" s="1"/>
  <c r="I6" i="7"/>
  <c r="I10" i="7" s="1"/>
  <c r="J10" i="7" s="1"/>
  <c r="I8" i="7"/>
  <c r="N13" i="4"/>
  <c r="N88" i="4"/>
  <c r="N86" i="4"/>
  <c r="N41" i="4"/>
  <c r="N23" i="4"/>
  <c r="N57" i="4"/>
  <c r="N22" i="4"/>
  <c r="N12" i="4"/>
  <c r="N70" i="4"/>
  <c r="N71" i="4"/>
  <c r="N28" i="4"/>
  <c r="N11" i="4"/>
  <c r="N60" i="4"/>
  <c r="N74" i="4"/>
  <c r="N21" i="4"/>
  <c r="N79" i="4"/>
  <c r="N85" i="4"/>
  <c r="N61" i="4"/>
  <c r="N15" i="4"/>
  <c r="N54" i="4"/>
  <c r="N9" i="4"/>
  <c r="N18" i="4"/>
  <c r="N16" i="4"/>
  <c r="N10" i="4"/>
  <c r="N90" i="4"/>
  <c r="N39" i="4"/>
  <c r="N33" i="4"/>
  <c r="N72" i="4"/>
  <c r="N91" i="4"/>
  <c r="N81" i="4"/>
  <c r="N62" i="4"/>
  <c r="N44" i="4"/>
  <c r="N83" i="4"/>
  <c r="N43" i="4"/>
  <c r="N87" i="4"/>
  <c r="N63" i="4"/>
  <c r="N27" i="4"/>
  <c r="N29" i="4"/>
  <c r="N78" i="4"/>
  <c r="N48" i="4"/>
  <c r="N46" i="4"/>
  <c r="N19" i="4"/>
  <c r="N36" i="4"/>
  <c r="N45" i="4"/>
  <c r="N69" i="4"/>
  <c r="N56" i="4"/>
  <c r="N58" i="4"/>
  <c r="N67" i="4"/>
  <c r="N80" i="4"/>
  <c r="N76" i="4"/>
  <c r="N49" i="4"/>
  <c r="N40" i="4"/>
  <c r="N73" i="4"/>
  <c r="N53" i="4"/>
  <c r="N66" i="4"/>
  <c r="N50" i="4"/>
  <c r="N25" i="4"/>
  <c r="N24" i="4" s="1"/>
  <c r="N55" i="4"/>
  <c r="N34" i="4"/>
  <c r="N17" i="4"/>
  <c r="N37" i="4"/>
  <c r="N35" i="4"/>
  <c r="N65" i="4"/>
  <c r="N51" i="4"/>
  <c r="N31" i="4"/>
  <c r="N77" i="4"/>
  <c r="N20" i="4"/>
  <c r="N84" i="4"/>
  <c r="N30" i="4"/>
  <c r="I12" i="7" l="1"/>
  <c r="N42" i="4"/>
  <c r="N89" i="4"/>
  <c r="N38" i="4"/>
  <c r="I16" i="7"/>
  <c r="I15" i="7"/>
  <c r="J12" i="7"/>
  <c r="I14" i="7"/>
  <c r="N82" i="4"/>
  <c r="N32" i="4"/>
  <c r="N47" i="4"/>
  <c r="N52" i="4"/>
  <c r="N75" i="4"/>
  <c r="N26" i="4"/>
  <c r="N8" i="4"/>
  <c r="N59" i="4"/>
  <c r="N14" i="4"/>
  <c r="N64" i="4"/>
  <c r="N68" i="4"/>
  <c r="N92" i="4" l="1"/>
  <c r="O42" i="4" s="1"/>
  <c r="I18" i="7"/>
  <c r="I21" i="7" s="1"/>
  <c r="J21" i="7" s="1"/>
  <c r="O47" i="4" l="1"/>
  <c r="O59" i="4"/>
  <c r="O32" i="4"/>
  <c r="O8" i="4"/>
  <c r="O14" i="4"/>
  <c r="O38" i="4"/>
  <c r="N94" i="4"/>
  <c r="O52" i="4"/>
  <c r="O89" i="4"/>
  <c r="I20" i="7"/>
  <c r="J20" i="7" s="1"/>
  <c r="O24" i="4"/>
  <c r="O70" i="4"/>
  <c r="O26" i="4"/>
  <c r="O64" i="4"/>
  <c r="I23" i="7"/>
</calcChain>
</file>

<file path=xl/sharedStrings.xml><?xml version="1.0" encoding="utf-8"?>
<sst xmlns="http://schemas.openxmlformats.org/spreadsheetml/2006/main" count="1621" uniqueCount="697">
  <si>
    <t>CLIENTE:</t>
  </si>
  <si>
    <t>-</t>
  </si>
  <si>
    <t>SUA LOGO AQUI!</t>
  </si>
  <si>
    <t>ARQ.:</t>
  </si>
  <si>
    <t>OBRA:</t>
  </si>
  <si>
    <t>PLANILHA DE BRIEFING COM CLIENTE E AUTOR DO PROJETO</t>
  </si>
  <si>
    <t>ITEM</t>
  </si>
  <si>
    <t>DESCRIÇÃO</t>
  </si>
  <si>
    <t>UND</t>
  </si>
  <si>
    <t>QNTD</t>
  </si>
  <si>
    <t>MEM CAL</t>
  </si>
  <si>
    <t>OBSERVAÇÕES</t>
  </si>
  <si>
    <t>SERVIÇOS ADIMINSTRATIVOS</t>
  </si>
  <si>
    <t>1.1</t>
  </si>
  <si>
    <t>ADMINISTRAÇÃO DE OBRA</t>
  </si>
  <si>
    <t>MES</t>
  </si>
  <si>
    <t>1.2</t>
  </si>
  <si>
    <t>TRANSPORTE E ALIMENTAÇÃO EQP ADM</t>
  </si>
  <si>
    <t>1.3</t>
  </si>
  <si>
    <t>ART DE EXECUÇÃO DA OBRA</t>
  </si>
  <si>
    <t>UN</t>
  </si>
  <si>
    <t>1.4</t>
  </si>
  <si>
    <t xml:space="preserve">ISOLAMENTO/PROTEÇÃO COM LONA/PLÁSTICO BOLHA </t>
  </si>
  <si>
    <t>VB</t>
  </si>
  <si>
    <t>1.5</t>
  </si>
  <si>
    <t xml:space="preserve">MOBILIZAÇÃO E DESMOBILIZAÇÃO </t>
  </si>
  <si>
    <t>DEMOLIÇÃO E RETIRADA</t>
  </si>
  <si>
    <t>2.1</t>
  </si>
  <si>
    <t>DEMOLIÇÃO DE ALVENARIA DE VEDAÇÃO</t>
  </si>
  <si>
    <t>M²</t>
  </si>
  <si>
    <t>1,00</t>
  </si>
  <si>
    <t>2.2</t>
  </si>
  <si>
    <t>REMOÇÃO DE BANCADAS EM GRANITO</t>
  </si>
  <si>
    <t>2.3</t>
  </si>
  <si>
    <t>REMOÇÃO DE LOUÇAS E METAIS</t>
  </si>
  <si>
    <t>2.4</t>
  </si>
  <si>
    <t>REMOÇÃO DE PORTAS INTERNAS EM MADEIRA</t>
  </si>
  <si>
    <t>2.5</t>
  </si>
  <si>
    <t>DEMOLIÇÃO DE REVESTIMENTO CERÂMICO EM PAREDE</t>
  </si>
  <si>
    <t>2.6</t>
  </si>
  <si>
    <t>DEMOLIÇÃO DE REVESTIMENTO CERÂMICO EM PISO</t>
  </si>
  <si>
    <t>2.7</t>
  </si>
  <si>
    <t>DEMOLIÇÃO DE FORRO EM GESSO/PVC</t>
  </si>
  <si>
    <t>2.8</t>
  </si>
  <si>
    <t>REMOÇÃO DE LUMINÁRIAS INTERNAS (FORRO)</t>
  </si>
  <si>
    <t>2.9</t>
  </si>
  <si>
    <t>REMOÇÃO DOS ENTULHOS POR SACOS E CARRO PEQUENO</t>
  </si>
  <si>
    <t>SERVIÇO EM ALVENARIA</t>
  </si>
  <si>
    <t>3.1</t>
  </si>
  <si>
    <t>ASSENTAMENTO DE ALVENARIA DE VEDAÇÃO</t>
  </si>
  <si>
    <t>3.2</t>
  </si>
  <si>
    <t>3.3</t>
  </si>
  <si>
    <t>3.4</t>
  </si>
  <si>
    <t>INSTALAÇÃO HIDRÁULICA</t>
  </si>
  <si>
    <t>4.1</t>
  </si>
  <si>
    <t>INSTALAÇAO DE PONTO DE ÁGUA FRIA</t>
  </si>
  <si>
    <t>4.2</t>
  </si>
  <si>
    <t>INSTALAÇÃO DE PONTO DE ESGOTO 50 MM</t>
  </si>
  <si>
    <t>4.3</t>
  </si>
  <si>
    <t>RELOCAÇÃO DE PONTO DE ESGOTO 100 MM</t>
  </si>
  <si>
    <t>4.4</t>
  </si>
  <si>
    <t>INSTALAÇÃO DE PONTO DE REGISTRO DE GAVETA</t>
  </si>
  <si>
    <t>4.5</t>
  </si>
  <si>
    <t>INSTALAÇÃO DE PONTO DE REGISTRO DE PRESSÃO</t>
  </si>
  <si>
    <t>INSTALAÇÃO ELÉTRICA</t>
  </si>
  <si>
    <t>5.1</t>
  </si>
  <si>
    <t>INSTALAÇÃO DE INFRAESTRUTURA PARA TOMADA E ILUMINAÇÃO</t>
  </si>
  <si>
    <t>5.2</t>
  </si>
  <si>
    <t>INSTALAÇÃO DE CABEAMENTO PARA PONTOS DE TOMADAS</t>
  </si>
  <si>
    <t>5.3</t>
  </si>
  <si>
    <t>INSTALAÇÃO DE CABEAMENTO PARA PONTOS DE ILUMINAÇÃO</t>
  </si>
  <si>
    <t>5.4</t>
  </si>
  <si>
    <t>REISNTALAÇÃO DE QUADRO DE DISTRIBUIÇÃO (ADEQUAÇÃO)</t>
  </si>
  <si>
    <t>5.5</t>
  </si>
  <si>
    <t>INSTALAÇÃO DE INFRAESTRUTURA PARA PONTOS DE REDE/ANTENA/CAMERA/SOM</t>
  </si>
  <si>
    <t>INSTALAÇÃO DE EQUIPAMENTOS</t>
  </si>
  <si>
    <t>6.1</t>
  </si>
  <si>
    <t>INSTALAÇÃO DE INFRA PARA AR CONDICIONADO</t>
  </si>
  <si>
    <t>6.2</t>
  </si>
  <si>
    <t xml:space="preserve">INSTALAÇÃO DE BOILER </t>
  </si>
  <si>
    <t>6.3</t>
  </si>
  <si>
    <t>INSTALAÇÃO DE EXAUSTOR l BWC CAMARIM E MAS</t>
  </si>
  <si>
    <t>INSTALAÇÃO DE ILUMINAÇÃO</t>
  </si>
  <si>
    <t>7.1</t>
  </si>
  <si>
    <t>INSTALAÇÃO DE LUMINÁRIA DE EMBUTIR QUADRADA 20W EM FORRO DE GESSO</t>
  </si>
  <si>
    <t>7.2</t>
  </si>
  <si>
    <t>INSTALAÇÃO DE DICROICAS DIRECIONAIS</t>
  </si>
  <si>
    <t>7.3</t>
  </si>
  <si>
    <t>INSTALAÇÃO DE FITA EM LED</t>
  </si>
  <si>
    <t>7.4</t>
  </si>
  <si>
    <t xml:space="preserve">INSTALAÇÃO DE PENDENTE </t>
  </si>
  <si>
    <t>7.5</t>
  </si>
  <si>
    <t xml:space="preserve">INSTALAÇÃO DE INTERRUPTOR SIMPLES </t>
  </si>
  <si>
    <t xml:space="preserve">CONSID. PIAL ZEFFIA </t>
  </si>
  <si>
    <t>7.6</t>
  </si>
  <si>
    <t>7.7</t>
  </si>
  <si>
    <t>7.8</t>
  </si>
  <si>
    <t>SERVIÇO EM FORRO</t>
  </si>
  <si>
    <t>8.1</t>
  </si>
  <si>
    <t>FORNECIMENTO E INSTALAÇÃO DE FORRO EM GESSO</t>
  </si>
  <si>
    <t>8.2</t>
  </si>
  <si>
    <t>FORNECIMENTO E INSTALAÇÃO DE JUNTA EM DILATAÇÃO 3X3 CM</t>
  </si>
  <si>
    <t xml:space="preserve">M </t>
  </si>
  <si>
    <t>8.3</t>
  </si>
  <si>
    <t>FORNECIMENTO E INSTALAÇÃO DE CORTINEIRO</t>
  </si>
  <si>
    <t>M</t>
  </si>
  <si>
    <t>8.4</t>
  </si>
  <si>
    <t>FORNECIMENTO E INSTALAÇÃO DE SANCAS</t>
  </si>
  <si>
    <t xml:space="preserve">SERVIÇO EM ESQUADRIA DE MADEIRA </t>
  </si>
  <si>
    <t>9.1</t>
  </si>
  <si>
    <t>FORNECIMENTO E INSTALAÇÃO DE PORTA EM MADEIRA 0,60 x 2,10 m l COMPLETA</t>
  </si>
  <si>
    <t>9.2</t>
  </si>
  <si>
    <t>FORNECIMENTO E INSTALAÇÃO DE PORTA EM MADEIRA 0,70 X 2,10 M l COMPLETA</t>
  </si>
  <si>
    <t>9.3</t>
  </si>
  <si>
    <t>FORNECIMENTO E INSTALAÇÃO DE PORTA EM MADEIRA 0,80 X 2,10 M l COMPLETA</t>
  </si>
  <si>
    <t>9.4</t>
  </si>
  <si>
    <t>FORNECIMENTO E INSTALAÇÃO DE PORTA EM MADEIRA 0,90 X 2,10 M l COMPLETA</t>
  </si>
  <si>
    <t>9.5</t>
  </si>
  <si>
    <t>9.6</t>
  </si>
  <si>
    <t>SERVIÇO DE MARMORARIA</t>
  </si>
  <si>
    <t>10.1</t>
  </si>
  <si>
    <t>FORNECIMENTO E INSTALAÇÃO DE BANCADA EM GRANITO</t>
  </si>
  <si>
    <t>10.2</t>
  </si>
  <si>
    <t>FORNECIMENTO E INSTALAÇÃO DE NICHO EM GRANITO</t>
  </si>
  <si>
    <t>10.3</t>
  </si>
  <si>
    <t>FORNECIMENTO E INSTALAÇÃO DE DIVBOX EM GRANITO</t>
  </si>
  <si>
    <t>10.4</t>
  </si>
  <si>
    <t>REVESTIMENTO EM ARGAMASSA</t>
  </si>
  <si>
    <t>11.1</t>
  </si>
  <si>
    <t>APLICAÇÃO DE CHAPISCO E REBOCO EM PAREDE DE ALVENARIA NOVA</t>
  </si>
  <si>
    <t>11.2</t>
  </si>
  <si>
    <t>REGULARIZAÇÃO COM REBOCO FINO PARA RECEBIMENTO DE REVESTIMENTO NOVO</t>
  </si>
  <si>
    <t>11.3</t>
  </si>
  <si>
    <t>REGULARIZAÇÃO DE PISO COM ATÉ 5 CM PARA RECEBIMENTO DE REVESTIMENTO NONO</t>
  </si>
  <si>
    <t xml:space="preserve">REVESTIMENTO EM PORCELANATO </t>
  </si>
  <si>
    <t>12.1</t>
  </si>
  <si>
    <t>REVESTIMENTO EM PISO ÁREA COMUM  l BIANCOGRÉS CRISTALLO 60X60 CM</t>
  </si>
  <si>
    <t>12.2</t>
  </si>
  <si>
    <t>REVESTIMENTO EM PISO ÁREA MOLHADA l BIANCOGRÉS CRISTALLO 60X60 CM</t>
  </si>
  <si>
    <t>12.3</t>
  </si>
  <si>
    <t>REVESTIMENTO EM PAREDE COZINHA l POINTER 60X60 CM</t>
  </si>
  <si>
    <t>12.4</t>
  </si>
  <si>
    <t>REVESTIMENTO EM PAREDE BANHEIROS l POINTER 60X60 CM</t>
  </si>
  <si>
    <t>12.5</t>
  </si>
  <si>
    <t>REVESTIMENTO EM PAREDE ÁREA DE SERVIÇO l POINTER 60X60 CM</t>
  </si>
  <si>
    <t>12.6</t>
  </si>
  <si>
    <t>REVESTIMENTO EM PAREDE VARANDA l POINTER 60X60 CM</t>
  </si>
  <si>
    <t>LOUÇAS E METAIS</t>
  </si>
  <si>
    <t>13.1</t>
  </si>
  <si>
    <t>INSTALAÇÃO DE VASO SANITÁRIO COM CX ACOPLADA l ECOLUS CELITE BRANCA</t>
  </si>
  <si>
    <t>13.2</t>
  </si>
  <si>
    <t>INSTALAÇÃO DE CUBA SUSPENSA DE CANTO EM LOUÇA BRANCA l CELITE</t>
  </si>
  <si>
    <t>13.3</t>
  </si>
  <si>
    <t>INSTALAÇÃO DE TORNEIRA BICA ALTA</t>
  </si>
  <si>
    <t>13.4</t>
  </si>
  <si>
    <t>INSTALAÇÃO DE PORTA ACESSÓRIOS l KIT BANHEIRO</t>
  </si>
  <si>
    <t>13.5</t>
  </si>
  <si>
    <t xml:space="preserve">INSTALAÇÃO DE DUCHA HIGIÊNCIA </t>
  </si>
  <si>
    <t>13.6</t>
  </si>
  <si>
    <t>INSTALAÇÃO DE CHUVEIRO</t>
  </si>
  <si>
    <t xml:space="preserve">SERVIÇO EM PINTURA </t>
  </si>
  <si>
    <t>14.1</t>
  </si>
  <si>
    <t>APLICAÇÃO DE SELADOR ACRILICO PAREDE E FORRO</t>
  </si>
  <si>
    <t>M2</t>
  </si>
  <si>
    <t>14.2</t>
  </si>
  <si>
    <t>APLICAÇÃO E LIXAMENTO DE MASSA CORRIDA EM FORRO DE GESSO</t>
  </si>
  <si>
    <t>14.3</t>
  </si>
  <si>
    <t xml:space="preserve">APLICAÇÃO DE TINTA EM FORRO EM GESSO COM TINA ACRÍLLICA ACETINADO NA COR </t>
  </si>
  <si>
    <t>14.4</t>
  </si>
  <si>
    <t xml:space="preserve">APLICAÇÃO E LIXAMENTO DE MASSA CORRIDA EM PAREDE </t>
  </si>
  <si>
    <t>14.5</t>
  </si>
  <si>
    <t xml:space="preserve">APLICAÇÃO DE TINTA ACRÍLICA EM PAREDE , ACETINADO  COR </t>
  </si>
  <si>
    <t>14.6</t>
  </si>
  <si>
    <t>APLICAÇÃO DE FUNDO, MASSA E TINTA EM PORTA DE MADEIRA, ACETINADO NA COR</t>
  </si>
  <si>
    <t xml:space="preserve">LIMPEZA FINAL </t>
  </si>
  <si>
    <t>15.1</t>
  </si>
  <si>
    <t>LIMPEZA FINAL DA OBRA</t>
  </si>
  <si>
    <t>15.3</t>
  </si>
  <si>
    <t>REMOÇÃO DE ENTULHOS GERADOS PELA OBRA POR CARRO PEQUENOS</t>
  </si>
  <si>
    <t>LEVANTAMENTO DE QUANTITATIVOS EM PAREDES</t>
  </si>
  <si>
    <t>MEDIDAS</t>
  </si>
  <si>
    <t>ALVENARIA</t>
  </si>
  <si>
    <t>PINTURA</t>
  </si>
  <si>
    <t>REVESTIMENTO (M²)</t>
  </si>
  <si>
    <t>AMBIENTE</t>
  </si>
  <si>
    <t>PERIMETRO</t>
  </si>
  <si>
    <t>PÉ DIREITO</t>
  </si>
  <si>
    <t>DESCONTOS</t>
  </si>
  <si>
    <t>ALVENARIA (M²)</t>
  </si>
  <si>
    <t>CHAPISCO (M²)</t>
  </si>
  <si>
    <t>REBOCO (M²)</t>
  </si>
  <si>
    <t>SELADOR (M²)</t>
  </si>
  <si>
    <t>MASSA CORRIDA (M²)</t>
  </si>
  <si>
    <t>PINTURA (M²)</t>
  </si>
  <si>
    <t>PORCELANTO</t>
  </si>
  <si>
    <t>CERÂMICA</t>
  </si>
  <si>
    <t>SALA</t>
  </si>
  <si>
    <t>QRT 01</t>
  </si>
  <si>
    <t>QRT 02</t>
  </si>
  <si>
    <t>QRT 03</t>
  </si>
  <si>
    <t>CORREDOR</t>
  </si>
  <si>
    <t>QRT DEPENDENCIA</t>
  </si>
  <si>
    <t>BWC SOCIAL</t>
  </si>
  <si>
    <t>BWC SUITE 1</t>
  </si>
  <si>
    <t>BWC SUITE 2</t>
  </si>
  <si>
    <t>BWC SUITE 3</t>
  </si>
  <si>
    <t>LEVANTAMENTO DE QUANTITATIVOS EM PISO E FORRO</t>
  </si>
  <si>
    <t>REVESTIMENTO</t>
  </si>
  <si>
    <t>PISO</t>
  </si>
  <si>
    <t>FORRO</t>
  </si>
  <si>
    <t>ÁREA</t>
  </si>
  <si>
    <t>PORCELAN.</t>
  </si>
  <si>
    <t>GRANITO</t>
  </si>
  <si>
    <t>CONTRAPISO</t>
  </si>
  <si>
    <t>IMPERMEAB</t>
  </si>
  <si>
    <t>GESSO</t>
  </si>
  <si>
    <t>SELADOR/MASSA</t>
  </si>
  <si>
    <t>COZINHA/A. SERV</t>
  </si>
  <si>
    <t>TOTAL</t>
  </si>
  <si>
    <t>FUNÇÃO</t>
  </si>
  <si>
    <t>R$ HORA</t>
  </si>
  <si>
    <t>CUSTO MO</t>
  </si>
  <si>
    <t>PEDREIRO</t>
  </si>
  <si>
    <t>GESSEIRO</t>
  </si>
  <si>
    <t>CUSTO MAT</t>
  </si>
  <si>
    <t>SERVENTE</t>
  </si>
  <si>
    <t>ELETRICISTA</t>
  </si>
  <si>
    <t>CUSTO SERV</t>
  </si>
  <si>
    <t>ENCANDOR</t>
  </si>
  <si>
    <t>AZULEJISTA</t>
  </si>
  <si>
    <t>CUSTO TOTAL</t>
  </si>
  <si>
    <t>AUX. ENCANADOR</t>
  </si>
  <si>
    <t>COMPOSIÇÃO DE PREÇO UNITÁRIO PROPRIA</t>
  </si>
  <si>
    <t>DESCRIÇÃO DOS SERVIÇOS</t>
  </si>
  <si>
    <t>R$ UNIT</t>
  </si>
  <si>
    <t>R$ TOTAL</t>
  </si>
  <si>
    <t>COEFIC.</t>
  </si>
  <si>
    <t>COEF.</t>
  </si>
  <si>
    <t>MAT</t>
  </si>
  <si>
    <t>SACOS PARA ENTULHO</t>
  </si>
  <si>
    <t>MO</t>
  </si>
  <si>
    <t>PEDREIRO l DEMOLIÇÃO DE ALVENARIA</t>
  </si>
  <si>
    <t>SERVENTE l DEMOLIÇÃO DE ALVENARIA</t>
  </si>
  <si>
    <t>SERVENTE l REMOÇÃO DE BANCADA EM GRANITO</t>
  </si>
  <si>
    <t>ENCANADOR l REMOÇÃO DE LOUÇAS E METAIS</t>
  </si>
  <si>
    <t>SERVENTE l REMOÇÃO DE LOUÇAS E METAIS</t>
  </si>
  <si>
    <t>PEDREIRO l REMOÇÃO DE PORTA EM MADEIRA</t>
  </si>
  <si>
    <t>SERVENTE l REMOÇÃO DE PORTA EM MADEIRA</t>
  </si>
  <si>
    <t>AZULEJISTA l DEMOLIÇÃO DE REVESTIMENTO CERÂMICO EM PAREDE</t>
  </si>
  <si>
    <t>SERVENTE l DEMOLIÇÃO DE REVESTIMENTO CERÂMICO EM PAREDE</t>
  </si>
  <si>
    <t>AZULEJISTA l DEMOLIÇÃO DE REVESTIMENTO CERÂMICO EM PISO</t>
  </si>
  <si>
    <t>SERVENTE l DEMOLIÇÃO DE REVESTIMENTO CERÂMICO EM PISO</t>
  </si>
  <si>
    <t>GESSEIRO l DEMOLIÇÃO DE FORRO EM GESSO/PVC</t>
  </si>
  <si>
    <t>SERVENTE l DEMOLIÇÃO DE FORRO EM GESSO/PVC</t>
  </si>
  <si>
    <t>SACO PARA ENTULHO</t>
  </si>
  <si>
    <t>ELETRICISTA l REMOÇÃO DE LUMINÁRIAS EM GERAL</t>
  </si>
  <si>
    <t>SERVENTE l REMOÇÃO DE LUMINÁRIAS EM GERAL</t>
  </si>
  <si>
    <t>SERVENTE l REMOÇÃO DOS ENTULHOS ATÉ O LOCAL DE DESCARTE</t>
  </si>
  <si>
    <t>SERV</t>
  </si>
  <si>
    <t>REMOÇÃO DO ENTULHO EM CARRO PEQUENO</t>
  </si>
  <si>
    <t>PEDREIRO l ASSENTAMENTO DE ALVENARIA</t>
  </si>
  <si>
    <t>SERVENTE l ASSENTAMENTO DE ALVENARIA</t>
  </si>
  <si>
    <t>TIJOLO CERÂMICO 8 FUROS</t>
  </si>
  <si>
    <t>ARGAMASSA TRAÇO 1:2:8 PARA ASSENTAMENTO DE ALVENARIA</t>
  </si>
  <si>
    <t>M³</t>
  </si>
  <si>
    <t>TELA DE AÇO SOLDADA GALVANIZADA PARA ALVENARIA, FIO D= 1,20 A 1,70 MM, MALHA 15X15 MM</t>
  </si>
  <si>
    <t>PINO DE AÇO COM FURO, HASTE 27MM</t>
  </si>
  <si>
    <t>CENT</t>
  </si>
  <si>
    <t>ENCANADOR l INSTALAÇÃO DE PTO DE ÁGUA FRIA</t>
  </si>
  <si>
    <t>AUXILIAR ENCANADOR l INSTALAÇÃO DE PTO DE ÁGUA FRIA</t>
  </si>
  <si>
    <t>ADESIVO PLASTICO PARA PVC, FRASCO COM *850* GR</t>
  </si>
  <si>
    <t>TUBO PVC, SOLDAVEL, DE 25 MM, AGUA FRIA</t>
  </si>
  <si>
    <t>JOELHO PVC, SOLDAVEL, 90 GRAUS, 25 MM, COR MARROM, PARA AGUA FRIA PREDIAL</t>
  </si>
  <si>
    <t>LIXA D'AGUA EM FOLHA, GRAO 100</t>
  </si>
  <si>
    <t>JOELHO PVC, SOLDAVEL, COM BUCHA DE LATAO, 90 GRAUS, 25 MM X 3/4", PARA AGUA FRIA</t>
  </si>
  <si>
    <t>TE SOLDAVEL, PVC, 90 GRAUS, 25 MM, PARA AGUA FRIA PREDIAL</t>
  </si>
  <si>
    <t>ENCANADOR l INSTALAÇÃO DE PTO ESGOTO 50MM</t>
  </si>
  <si>
    <t>AUX. ENCANADOR l INSTALAÇÃO DE PTO ESGOTO 50MM</t>
  </si>
  <si>
    <t xml:space="preserve">ADESIVO PLASTICO PARA PVC, FRASCO COM 850 GRCR </t>
  </si>
  <si>
    <t xml:space="preserve">JOELHO PVC SOLD 90G PB P/ ESG PREDIAL DN 50MM </t>
  </si>
  <si>
    <t>JOLEHO PVC SOLD 45G PB P/ ESG PREDIAL DN 50MM</t>
  </si>
  <si>
    <t>TUBO PVC SERIE NORMAL, DN 50 MM, PARA ESGOTO PREDIAL</t>
  </si>
  <si>
    <t>TE SANITARIO, PVC, DN 100 X 50 MM, SERIE NORMAL, PARA ESGOTO PREDIAL</t>
  </si>
  <si>
    <t>LUVA SIMPLES, PVC, SOLD, DN 50MM, ESG PREDIAL</t>
  </si>
  <si>
    <t>ANEL BORRACHA PARA TUBO ESGOTO, DN 50 MM</t>
  </si>
  <si>
    <t>ARGAMASSA TRAÇO 1:3 PARA CHUMBAMENTO DE TUBOS</t>
  </si>
  <si>
    <t>ENCANADOR l INSTALAÇÃO DE PTO DE ESGOTO DE 100MM</t>
  </si>
  <si>
    <t>JOELHO PVC SOLD 90G P/ ESG PREDIAL DN 100MM</t>
  </si>
  <si>
    <t>TUBO PVC, SOLDÁVEL, 100 MM PARA ESGOTO PREDIAL</t>
  </si>
  <si>
    <t>ENCANADOR l INSTALAÇÃO DE REGISTRO DE GAVETA</t>
  </si>
  <si>
    <t>REGISTRO DE GAVETA (GERAL)</t>
  </si>
  <si>
    <t>ENCANADOR l INSTALAÇÃO DE REGISTRO DE PRESSÃO</t>
  </si>
  <si>
    <t>REGISTRO DE PRESSÃO (CHUVEIROS)</t>
  </si>
  <si>
    <t>ELETRICISTA l INSTALAÇÃO DE INFRAESTRUTURA PARA TOMADA E ILUMINAÇÃO</t>
  </si>
  <si>
    <t>CAIXA 4X2 EM PVC</t>
  </si>
  <si>
    <t>CONDUITE CORRUGADO 3/4"</t>
  </si>
  <si>
    <t>ELETRICISTA l INSTALAÇÃO DE PONTO DE TOMADAS</t>
  </si>
  <si>
    <t>CABO DE 2,5 MM l MARCA SIL</t>
  </si>
  <si>
    <t>PLUG CONECTOR</t>
  </si>
  <si>
    <t>ELETRICISTA l INSTALAÇÃO DE PONTO DE ILUMINAÇÃO</t>
  </si>
  <si>
    <t>CABO DE 1,5 MM l MARCA SIL</t>
  </si>
  <si>
    <t>ELETRICISTA l INSTALAÇÃO DE NOVO QUADRO DE DISTRIBUIÇÃO</t>
  </si>
  <si>
    <t>QUADRO DE DISTRIBUIÇÃO PARA 16 UN</t>
  </si>
  <si>
    <t>DISJUNTOR DE 16A</t>
  </si>
  <si>
    <t>ELETRICISTA l INSTALAÇÃO DE PONTOS PARA REDE/ANTENA/CAMERA/SOM</t>
  </si>
  <si>
    <t>CABO 1,5 MM l GUIA</t>
  </si>
  <si>
    <t>REFRIGERISTA l INSTALAÇÃO DE INFRAESTRUTURA PARA AR CONDICIONADO</t>
  </si>
  <si>
    <t>MATERIAL PARA INFRAESTRUTURA</t>
  </si>
  <si>
    <t>ELETRICISTA l INSTALAÇÃO DE LUMINÁRIA DE EMBUTIR</t>
  </si>
  <si>
    <t>LUMINÁRIA DE EMBUTIR QUADRADA 24W LED 6000K</t>
  </si>
  <si>
    <t>ELETRICISTA l INSTALAÇÃO DE DIRCOICAS DIRECIONAIS</t>
  </si>
  <si>
    <t>LUMINÁRIA DICROICA DIRECIONAL LED 6000K</t>
  </si>
  <si>
    <t>ELETRICISTA l INSTALAÇÃO DE FITA EM LED</t>
  </si>
  <si>
    <t>FITA EM LED PARA EMBUTIR 18W 6000K COM 3M</t>
  </si>
  <si>
    <t>ELETRICISTA l INSTALAÇÃO DE PENDENTE</t>
  </si>
  <si>
    <t>LUMINÁRIA PENDENTE MODELO</t>
  </si>
  <si>
    <t>GESSEIRO l INSTALAÇÃO DE FORRO EM GESSO</t>
  </si>
  <si>
    <t>GESSO EM PÓ</t>
  </si>
  <si>
    <t>KG</t>
  </si>
  <si>
    <t>SISAL</t>
  </si>
  <si>
    <t>ARAME ENCAPADO 18</t>
  </si>
  <si>
    <t>PLACAS DE GESSO 60X60 CM</t>
  </si>
  <si>
    <t>JUNTA DE DILATAÇÃO 3X3 CM</t>
  </si>
  <si>
    <t>GESSEIRO l INSTALAÇÃO DE CORTINEIRO EM GESSO</t>
  </si>
  <si>
    <t>CORTINEIRO 10 X 15 CM</t>
  </si>
  <si>
    <t>GESSEIRO l INSTALAÇÃO DE SANCAS EM GESSO</t>
  </si>
  <si>
    <t>PEÇAS EM GESSO PARA CONFECÇÃO DE SANCAS</t>
  </si>
  <si>
    <t>MARCENEIRO l INST DE PORTAL E PORTA COMPLETA</t>
  </si>
  <si>
    <t>DOBRADIÇA PARA PORTA EM MADEIRA</t>
  </si>
  <si>
    <t>PORTAL EM MADEIRA MAÇARANDUBA 15 CM DE LARG</t>
  </si>
  <si>
    <t>PORTA EM MADEIRA DE SEGURANÇA 0,60 X 2,10 CM</t>
  </si>
  <si>
    <t>ALISAR EM MAÇARANDUBA 5 CM l CONJUNTO</t>
  </si>
  <si>
    <t>FECHARUDA DE ALAVANCA EM AÇO INOX l MARCA TAL</t>
  </si>
  <si>
    <t>PORTA EM MADEIRA DE SEGURANÇA 0,70 X 2,10 CM</t>
  </si>
  <si>
    <t>FECHARUDA DE ALAVANCA EM ANOX INOX l MARCA TAL</t>
  </si>
  <si>
    <t>PORTA EM MADEIRA DE SEGURANÇA 0,80 X 2,10 CM</t>
  </si>
  <si>
    <t>PORTA EM MADEIRA DE SEGURANÇA 0,90 X 2,10 CM</t>
  </si>
  <si>
    <t>MARMORARIA l FORNEC/INSTALAÇÃO DE BANCADA EM GRANITO DO BWC SUITE MASTER</t>
  </si>
  <si>
    <t>FRETE E INSTALAÇÃO</t>
  </si>
  <si>
    <t>MARMORARIA l FORNEC/INSTALAÇÃO DE NICHO EM GRANITO</t>
  </si>
  <si>
    <t>PEDREIRO l REVESTIMENTO EM CHAPISCO E REBOCO</t>
  </si>
  <si>
    <t>CIMENTO PORTLAND CP II</t>
  </si>
  <si>
    <t>AREIA LAVADA</t>
  </si>
  <si>
    <t>CAL HIDRATADA</t>
  </si>
  <si>
    <t>PEDREIRO l REGULARIZAÇÃO DE PAREDE PARA RECEBIMENTO DE NOVO REVESTIMENTO</t>
  </si>
  <si>
    <t>PEDREIRO l REGULARIZAÇÃO DE PISO PARA RECEBIMENTO DE NOVO REVESTIMENTO</t>
  </si>
  <si>
    <t>AZULEJISTA l APLICAÇÃO DE PORCELANATO 60X60 CM</t>
  </si>
  <si>
    <t>ARGAMASSA COLANTE AC II</t>
  </si>
  <si>
    <t>REJUNTE CIMENTÍCIO COR CINZA PLATINO</t>
  </si>
  <si>
    <t>ESPAÇADOR E CUNHA PARA 1,5 MM</t>
  </si>
  <si>
    <t>REVESTIMENTO PORCELANATO BIANCOGRÉS CRISTALLO 60X60 CM</t>
  </si>
  <si>
    <t>ENCANADOR l INSTALAÇÃO DE VASO SANITÁRIO</t>
  </si>
  <si>
    <t>VASO SANITÁRIO COM CAIXA ACOPLADA BRANCA l MODELO</t>
  </si>
  <si>
    <t>ANEL DE VEDAÇÃO PARA VASO SANITÁRIO</t>
  </si>
  <si>
    <t>PARAFUSOS 10" FIXAÇÃO DO VASO (PAR)</t>
  </si>
  <si>
    <t>CHICOTE EM PVC PARA LIGAÇÃO DA CAIXA ACOPLADA 50 CM</t>
  </si>
  <si>
    <t>ENCANADOR l INSTALAÇÃO DE DE CUBA SUSPENSA</t>
  </si>
  <si>
    <t>CUBA EM LOUÇA BRANCA DE APOIO 44X25 CM</t>
  </si>
  <si>
    <t>SIFÃO EM PVC DE ESGOTO PARA CUBA</t>
  </si>
  <si>
    <t>VÁLVULA DE ESCAPE EM INOX PARA LOUÇA</t>
  </si>
  <si>
    <t>CHICOTE EM PVC PARA LIGAÇÃO DA TORNEIRA 40 CM</t>
  </si>
  <si>
    <t>ENCANADOR l INSTALAÇÃO DE TORNEIRA</t>
  </si>
  <si>
    <t>TORNEIRA METÁLICA BICA ALTA</t>
  </si>
  <si>
    <t>TORNEIRA METÁLICA DE PAREDE</t>
  </si>
  <si>
    <t>ENCANADOR l INSTALAÇÃO DE DUCHA HIGIÊNICA</t>
  </si>
  <si>
    <t>DUCHA HIGIÊNICA MARCA</t>
  </si>
  <si>
    <t>ENCANADOR l INSTALAÇÃO DE CHUVEIRO ELÉTRICO</t>
  </si>
  <si>
    <t>PINTOR l APLICAÇÃO SELADOR PAREDE</t>
  </si>
  <si>
    <t xml:space="preserve">SELADOR ACRILICO </t>
  </si>
  <si>
    <t>PINTOR l APLICAÇÃO MASSA CORRIDA EM PAREDE</t>
  </si>
  <si>
    <t>MASSA CORRIDA</t>
  </si>
  <si>
    <t>LIXA PARA MASSA CORRIDA Nº 120 GRÃOS</t>
  </si>
  <si>
    <t>PINTOR l APLICAÇÃO DE TINTA EM PAREDE</t>
  </si>
  <si>
    <t>TINTA BRANCA NEVE, ACAB FOSCO</t>
  </si>
  <si>
    <t>LT</t>
  </si>
  <si>
    <t>PINTOR l PINTURA DE PORTA EM MADEIRA</t>
  </si>
  <si>
    <t>AGUARRÁS</t>
  </si>
  <si>
    <t>TINTA ESMALTE BRANCO NEVE PARA MADEIRA</t>
  </si>
  <si>
    <t>COMPOSIÇÃO DE PREÇO AUXILIARES</t>
  </si>
  <si>
    <t>ARGAMASSA TRAÇO 1:2:8 (CIMENTO, CAL E AREIA MÉDIA ÚMIDA) PARA EMBOÇO/ASSENTAMENTO DE ALVENARIA DE VEDAÇÃO, PREPARO MANUAL.</t>
  </si>
  <si>
    <t>SERVENTE l PREPARAÇÃO DE ARGAMASSA PARA ASSENTAMENTO</t>
  </si>
  <si>
    <t>HR</t>
  </si>
  <si>
    <t>CAL HIDRATADA CH-I PARA ARGAMASSAS</t>
  </si>
  <si>
    <t xml:space="preserve">AREIA MÉDIA </t>
  </si>
  <si>
    <t>CIMENTO PORTLAND CPII-32</t>
  </si>
  <si>
    <t>ARGAMASSA TRAÇO 1:3 (CIMENTO E AREIA MÉDIA ÚMIDA) PARA CHUMBAMENTO DE TUBOS E CONDUITES, PREPARO MANUAL.</t>
  </si>
  <si>
    <t>SERVENTE l PREPARAÇÃO DE ARGAMASSA PARA CHUMBAMENTO</t>
  </si>
  <si>
    <t xml:space="preserve">CLIENTE: </t>
  </si>
  <si>
    <t xml:space="preserve">OBRA: </t>
  </si>
  <si>
    <t>PLANILHA ORÇAMENTÁRIA l MÃO DE OBRA l MATERIAL l SERVIÇO</t>
  </si>
  <si>
    <t>VALOR UNITÁRIO</t>
  </si>
  <si>
    <t>M.O</t>
  </si>
  <si>
    <t>SERVIÇO</t>
  </si>
  <si>
    <t>TOTAL UNIT</t>
  </si>
  <si>
    <t xml:space="preserve">TOTAL </t>
  </si>
  <si>
    <t>PREÇO TOTAL</t>
  </si>
  <si>
    <t>TOTAIS</t>
  </si>
  <si>
    <t>PREÇO DE VENDA</t>
  </si>
  <si>
    <t>TOTAL CUSTO</t>
  </si>
  <si>
    <t>BDI%</t>
  </si>
  <si>
    <t>ADM CENTRAL</t>
  </si>
  <si>
    <t>CUSTOS INDIRETOS</t>
  </si>
  <si>
    <t>CUSTO FINANC.</t>
  </si>
  <si>
    <t>IMPOSTO</t>
  </si>
  <si>
    <t>LUCRO</t>
  </si>
  <si>
    <t xml:space="preserve">Normalmente varia de 5% a 30% do custo total da obra </t>
  </si>
  <si>
    <t>EQUIPE TÉCNICA</t>
  </si>
  <si>
    <t>CUSTO INDIRETO</t>
  </si>
  <si>
    <t>CARGOS</t>
  </si>
  <si>
    <t>SALÁRIO</t>
  </si>
  <si>
    <t>EQUIPE TECNICA</t>
  </si>
  <si>
    <t>EQP EPI</t>
  </si>
  <si>
    <t>O QUE INCLUI?</t>
  </si>
  <si>
    <t>ENGENHEIRO CIVIL (MÊS)</t>
  </si>
  <si>
    <t>EQUIPE DE SUPORTE</t>
  </si>
  <si>
    <t>FERRAMENTA</t>
  </si>
  <si>
    <t>CUSTOS ACRESCIDOS DOS ENCARGOS SOCIAIS E TRABALHISTAS (MENSALISTA)</t>
  </si>
  <si>
    <t>ENGENHEIRO CIVIL (VISITA)</t>
  </si>
  <si>
    <t>EQUIPE ADMINISTRATIVA</t>
  </si>
  <si>
    <t>DESP CORRENTE</t>
  </si>
  <si>
    <t>ENCARREGADO DE OBRAS</t>
  </si>
  <si>
    <t>MOBILIZAÇÃO E DESMOBILIZAÇÃO</t>
  </si>
  <si>
    <t>DESP PESSOAL</t>
  </si>
  <si>
    <t>ENCARREGADO (SEMANA)</t>
  </si>
  <si>
    <t>EQP CANTEIRO</t>
  </si>
  <si>
    <t>SERV TERCEIRO</t>
  </si>
  <si>
    <t>ESTÁGIARIO/MÊS (BOLSA+PASSAG+REFEIÇÃO)</t>
  </si>
  <si>
    <t>EQP ADMINISTRATIVA</t>
  </si>
  <si>
    <t>TAXAS E EMOLU</t>
  </si>
  <si>
    <t>TOTAL EQP TÉCNICA</t>
  </si>
  <si>
    <t>EQP PROT. COLETIVA</t>
  </si>
  <si>
    <t>DIVERSOS</t>
  </si>
  <si>
    <t>FUNÇÕES</t>
  </si>
  <si>
    <t>ALMOXARIFE</t>
  </si>
  <si>
    <t>TOPÓGRAFO</t>
  </si>
  <si>
    <t>FERRAMENTEIRO</t>
  </si>
  <si>
    <t>AUXILIAR TOPOGAFIA (Hr)</t>
  </si>
  <si>
    <t>APONTADOR</t>
  </si>
  <si>
    <t>OPERADORES DE EQP GERAIS</t>
  </si>
  <si>
    <t>COMPRADOR</t>
  </si>
  <si>
    <t>MÉDICO</t>
  </si>
  <si>
    <t>AUX. LABORATORISTA (Hr)</t>
  </si>
  <si>
    <t>ENFERMEIRO</t>
  </si>
  <si>
    <t>AUX. SERVIÇOS GERAIS (ELE, ENCAN, SERV) Hr</t>
  </si>
  <si>
    <t>COZINHEIRO</t>
  </si>
  <si>
    <t>ASSISTENCIA SOCIAL</t>
  </si>
  <si>
    <t>AUXILIAR DE COZINHA</t>
  </si>
  <si>
    <t>TOTAL EQP</t>
  </si>
  <si>
    <t>CHEFE DE ESCRITORIO</t>
  </si>
  <si>
    <t>PORTEIRO</t>
  </si>
  <si>
    <t>AUXILIAR ADMINISTRATIVO</t>
  </si>
  <si>
    <t>VIGIA NOTURNO</t>
  </si>
  <si>
    <t>SECRETÁRIA</t>
  </si>
  <si>
    <t>FINANCEIRO</t>
  </si>
  <si>
    <t>FAXINEIRA</t>
  </si>
  <si>
    <t>R$ VALOR</t>
  </si>
  <si>
    <t>MOBILIZAÇÃO E DESMOBILIZAÇÃO DO CANTEIRO</t>
  </si>
  <si>
    <t>MONTAGEM E DESMONTAGEM DE CONSTRUÇÕES PROVISORIAS</t>
  </si>
  <si>
    <t>MOBILIZAÇÃO E DESMOBILIZAÇÃO DE PESSOAL (TRANSPORTES)</t>
  </si>
  <si>
    <t>CUSTO DE DESLOCAMENTO (PASSAGEM, TRANSPORTE) E ALOJAMENTO PROVISORIO</t>
  </si>
  <si>
    <t>MOBILIZAÇÃO E DESMOBILIZAÇÃO DE EQUIPAMENTOS</t>
  </si>
  <si>
    <t>TRANSPORTE EM CARRETAS, MONTAGEM DE GRUA</t>
  </si>
  <si>
    <t>ALUGUEL DE IMOVIES PARA ESCRITÓRIO, DEPÓSITO, CONTAINES, ETC. (Mês)</t>
  </si>
  <si>
    <t>CUSTO DE LOCAÇÃO</t>
  </si>
  <si>
    <t>TAPUMES E CERCAS</t>
  </si>
  <si>
    <t>CONSTRUÇÃO E REMOÇÃO AO FINAL DA OBRA</t>
  </si>
  <si>
    <t>ILUMINAÇÃO DE CAMPOS</t>
  </si>
  <si>
    <t>MONTAGEM E REMOÇÃO DAS ESTRUTURAS</t>
  </si>
  <si>
    <t>LIGAÇÕES PROVISÓRIAS DE AGUA, LUZ , ESGOTO, TELEFONE</t>
  </si>
  <si>
    <t>CUSTO DE MATERIAL, INSTALAÇÃO DE EQUIPAMENTO, TAXA DE LIGAÇÃO</t>
  </si>
  <si>
    <t>PLACAS DA OBRA (M²)</t>
  </si>
  <si>
    <t>TOTAL MOB E DESMOB</t>
  </si>
  <si>
    <r>
      <rPr>
        <b/>
        <sz val="11"/>
        <color rgb="FFFFFFFF"/>
        <rFont val="Calibri"/>
      </rPr>
      <t>EQUIPAMENTO DO CANTEIRO (</t>
    </r>
    <r>
      <rPr>
        <b/>
        <sz val="11"/>
        <color rgb="FFFF9900"/>
        <rFont val="Calibri"/>
      </rPr>
      <t>SE NÃO EXISTIR NA CPU</t>
    </r>
    <r>
      <rPr>
        <b/>
        <sz val="11"/>
        <color rgb="FFFFFFFF"/>
        <rFont val="Calibri"/>
      </rPr>
      <t>)</t>
    </r>
  </si>
  <si>
    <t>R$ UNTI</t>
  </si>
  <si>
    <t>ANDAIME  (M/Mês - LOCAÇÃO)</t>
  </si>
  <si>
    <t>BALANCIM (Mês)</t>
  </si>
  <si>
    <t>CUSTO DE PROPRIEDADE E OPERAÇÃO (SE PROPRIO) OU CUSTO POR MÊS DE LOCAÇÃO</t>
  </si>
  <si>
    <t>BETONEIRA (Mês)</t>
  </si>
  <si>
    <t>ESCORAS METÁLICAS (MêS)</t>
  </si>
  <si>
    <t>BOMBA HIDRAULICA</t>
  </si>
  <si>
    <t>MAÇARICO</t>
  </si>
  <si>
    <t xml:space="preserve">MAQUINA LAVA JATO </t>
  </si>
  <si>
    <t>MAQUINA DE SOLDA</t>
  </si>
  <si>
    <t>MARTELETE C/ PONTEIO</t>
  </si>
  <si>
    <t>FURADEIRA</t>
  </si>
  <si>
    <t>LIXADEIRA</t>
  </si>
  <si>
    <t>RETROESCAVAREIA</t>
  </si>
  <si>
    <t>SERRA CIRCULAR COM SERRA</t>
  </si>
  <si>
    <t>VIBRADOR DE IMERSÃO (MOTOR E MANGOTE)</t>
  </si>
  <si>
    <t>TOTAL EQP CANTEIRO</t>
  </si>
  <si>
    <r>
      <rPr>
        <b/>
        <sz val="11"/>
        <color rgb="FFFFFFFF"/>
        <rFont val="Calibri"/>
      </rPr>
      <t>EQUIPAMENTOS ADMINISTRATIVOS (</t>
    </r>
    <r>
      <rPr>
        <b/>
        <sz val="11"/>
        <color rgb="FFFF9900"/>
        <rFont val="Calibri"/>
      </rPr>
      <t>ESCRITÓRIO DE CAMPO</t>
    </r>
    <r>
      <rPr>
        <b/>
        <sz val="11"/>
        <color rgb="FFFFFFFF"/>
        <rFont val="Calibri"/>
      </rPr>
      <t>)</t>
    </r>
  </si>
  <si>
    <t>AR CONDICIONADO</t>
  </si>
  <si>
    <t>SANITÁRIOS PORTAVEIS</t>
  </si>
  <si>
    <t>CUSTO DE PROPRIEDADE OU LOCAÇÃO</t>
  </si>
  <si>
    <t xml:space="preserve">BEBEDOR </t>
  </si>
  <si>
    <t>SIRENE</t>
  </si>
  <si>
    <t>CAFETEIRA</t>
  </si>
  <si>
    <t>TELEVISÃO</t>
  </si>
  <si>
    <t>SISTEMA DE CAMERAS</t>
  </si>
  <si>
    <t>INTERNET CABEADA/WIFI</t>
  </si>
  <si>
    <t>NOTBOOKS</t>
  </si>
  <si>
    <t>IMPRESSORA</t>
  </si>
  <si>
    <t>MICROONDAS</t>
  </si>
  <si>
    <t>MOBILIARIO (MESA/CADEIRA/ESTANTES/ARMARIOS)</t>
  </si>
  <si>
    <t>RELÓGIO DE PONTO</t>
  </si>
  <si>
    <t>TOTAL EQP ADM</t>
  </si>
  <si>
    <r>
      <rPr>
        <b/>
        <sz val="11"/>
        <color rgb="FFFFFFFF"/>
        <rFont val="Calibri"/>
      </rPr>
      <t>EQUIPAMENTO DE PROTEÇÃO COLETIVA (</t>
    </r>
    <r>
      <rPr>
        <b/>
        <sz val="11"/>
        <color rgb="FFFF9900"/>
        <rFont val="Calibri"/>
      </rPr>
      <t>SE NÃO ESTIVER INCLUIDO NOS ENCARGOS SOCIAIS</t>
    </r>
    <r>
      <rPr>
        <b/>
        <sz val="11"/>
        <color rgb="FFFFFFFF"/>
        <rFont val="Calibri"/>
      </rPr>
      <t>)</t>
    </r>
  </si>
  <si>
    <t>BANDEIJA DE PROTEÇÃO (COM PERFIS)</t>
  </si>
  <si>
    <t>EXTINTOR DE INCENDIO</t>
  </si>
  <si>
    <t>SINALIZAÇÃO (FAIXA, PLACAS, CONES, CAVALETES)</t>
  </si>
  <si>
    <t>TELA DE PROTEÇÃO (M²)</t>
  </si>
  <si>
    <t>TOTAL EQP PROT. COLETIVA</t>
  </si>
  <si>
    <r>
      <rPr>
        <b/>
        <sz val="11"/>
        <color rgb="FFFFFFFF"/>
        <rFont val="Calibri"/>
      </rPr>
      <t>EQUIPAMENTO DE PROTEÇÃO INDIVIDUAL (</t>
    </r>
    <r>
      <rPr>
        <b/>
        <sz val="11"/>
        <color rgb="FFFF9900"/>
        <rFont val="Calibri"/>
      </rPr>
      <t>EPI - SE NÃO ESTIVER INCLUIDO NOS ENCARGOS SOCIAIS</t>
    </r>
    <r>
      <rPr>
        <b/>
        <sz val="11"/>
        <color rgb="FFFFFFFF"/>
        <rFont val="Calibri"/>
      </rPr>
      <t>)</t>
    </r>
  </si>
  <si>
    <t>AVENTAL DE SEGURANÇA DE RASPA DE COURO</t>
  </si>
  <si>
    <t>CORDA 12 MM (M)</t>
  </si>
  <si>
    <t>CUSTO DE AQUISIÇÃO OU VERBA</t>
  </si>
  <si>
    <t>BOTA DE PVC PRETA, CANO MÉDIO</t>
  </si>
  <si>
    <t>FARDAMENTO</t>
  </si>
  <si>
    <t>CABO DE SUSTENTAÇÃO</t>
  </si>
  <si>
    <t>LUVA</t>
  </si>
  <si>
    <t>CAPA DE CHUVA</t>
  </si>
  <si>
    <t>ÓCULOS</t>
  </si>
  <si>
    <t>CAPACETE DE SEGURANÇA</t>
  </si>
  <si>
    <t>PROTETOR AURICULAR</t>
  </si>
  <si>
    <t>CINTO COM TALABARTE (LOCAÇÃO)</t>
  </si>
  <si>
    <t>PROTETOR FACIAL</t>
  </si>
  <si>
    <t>TOTAL EQP EPI</t>
  </si>
  <si>
    <r>
      <rPr>
        <b/>
        <sz val="11"/>
        <color rgb="FFFFFFFF"/>
        <rFont val="Calibri"/>
      </rPr>
      <t>FERRAMENTAS (</t>
    </r>
    <r>
      <rPr>
        <b/>
        <sz val="11"/>
        <color rgb="FFFF9900"/>
        <rFont val="Calibri"/>
      </rPr>
      <t>SE NÃO ESTIVER INCLUIDO NOS ENCARGOS SOCIAIS</t>
    </r>
    <r>
      <rPr>
        <b/>
        <sz val="11"/>
        <color rgb="FFFFFFFF"/>
        <rFont val="Calibri"/>
      </rPr>
      <t>)</t>
    </r>
  </si>
  <si>
    <t>ARCO DE SERRA</t>
  </si>
  <si>
    <t xml:space="preserve">MARRETA </t>
  </si>
  <si>
    <t>BALDE PLASTICO CAP 10 L</t>
  </si>
  <si>
    <t>MARTELO</t>
  </si>
  <si>
    <t>BROCA</t>
  </si>
  <si>
    <t>MASSAIRA</t>
  </si>
  <si>
    <t>CARRINHO DE MÃO DE AÇO CAP 50 À 60 L</t>
  </si>
  <si>
    <t>METRO DE MADEIRA</t>
  </si>
  <si>
    <t>CAVADEIRA</t>
  </si>
  <si>
    <t>PÁ COM CABO</t>
  </si>
  <si>
    <t>CHAVE DE DOBRAR FERRO</t>
  </si>
  <si>
    <t>PENEIRA</t>
  </si>
  <si>
    <t>COLHER DE PEDREIRO FORJADA 8" CANTO REDONDO</t>
  </si>
  <si>
    <t>PICARETA COM CABO</t>
  </si>
  <si>
    <t>CORDA</t>
  </si>
  <si>
    <t>PONTEIRO DE AÇO</t>
  </si>
  <si>
    <t>DESEMPENADEIRA DE AÇO LISA 12 x *25*</t>
  </si>
  <si>
    <t>PRUMO</t>
  </si>
  <si>
    <t>ENXADA COM CABO</t>
  </si>
  <si>
    <t>RÉGUA DE ALUMINIO (M)</t>
  </si>
  <si>
    <t>ESCANTILHÃO</t>
  </si>
  <si>
    <t>RONDANA (MOITÃO)</t>
  </si>
  <si>
    <t>ESCOVA DE AÇO</t>
  </si>
  <si>
    <t xml:space="preserve">ROLO PARA PINTURA </t>
  </si>
  <si>
    <t>FITA ISOLANTE</t>
  </si>
  <si>
    <t>SERRA RÁPIDA</t>
  </si>
  <si>
    <t>GARFO PARA BRITA</t>
  </si>
  <si>
    <t>SERROTE</t>
  </si>
  <si>
    <t>GERICA</t>
  </si>
  <si>
    <t>TALHADEIRA</t>
  </si>
  <si>
    <t>LAMINA DE SERRA</t>
  </si>
  <si>
    <t>TIRFOR</t>
  </si>
  <si>
    <t>LAMPADA PARA GAMBIARRA</t>
  </si>
  <si>
    <t>TORNO MANUAL</t>
  </si>
  <si>
    <t>LATA</t>
  </si>
  <si>
    <t>TORQUES</t>
  </si>
  <si>
    <t>LIXA</t>
  </si>
  <si>
    <t>TRENA METÁLICA</t>
  </si>
  <si>
    <t>TRINCHA</t>
  </si>
  <si>
    <t>MATERIAL DE LIMPEA (VEJA/BUCHA/FLANELA)</t>
  </si>
  <si>
    <t>TOTAL FERRAMENTAS</t>
  </si>
  <si>
    <t>DESPESAS CORRENTES</t>
  </si>
  <si>
    <t>CONSUMO DE ÁGUA (MÊS)</t>
  </si>
  <si>
    <t>CUSTO MÉDIO MENSAL</t>
  </si>
  <si>
    <t>CONSUMO DE ENERGIA (MÊS)</t>
  </si>
  <si>
    <t>ÁGUA MINERAL (GARRAFÃO)</t>
  </si>
  <si>
    <t>DESPESA COM PLANOS DE CELULAR</t>
  </si>
  <si>
    <t>DESPESA COM INTERNET</t>
  </si>
  <si>
    <t>DESPESAS POSTAIS</t>
  </si>
  <si>
    <t>MATERIAL DE ESCRITORIO</t>
  </si>
  <si>
    <t>MATERIAL DE LIMPEZA E DE COPA</t>
  </si>
  <si>
    <t>CÓPIAS, XEROX, FOTOS, PLOTAGENS</t>
  </si>
  <si>
    <t>MATERIAL DE ENFERMARIA</t>
  </si>
  <si>
    <t>COMBUSTIVEIS (MÊS)</t>
  </si>
  <si>
    <t>TOTAL DESP. CORRENTES</t>
  </si>
  <si>
    <t>DESPESA COM PESSOAL</t>
  </si>
  <si>
    <t>ALUGUEL DE CASA PARA ALOJAMENTO (OBRA EM OUTRA CIDADE)</t>
  </si>
  <si>
    <t>ALIMENTAÇÃO (SE NÃO ESTIVER NOS E. SOCIAIS)</t>
  </si>
  <si>
    <t>TRANSPORTE - ALUGEL DE VTR, VT (SE Ñ ESTIVER NOS E. SOCIAIS)</t>
  </si>
  <si>
    <t>RELOCAÇÃO DE PESSOAL (MUDANÇAS)</t>
  </si>
  <si>
    <t xml:space="preserve">VERBA </t>
  </si>
  <si>
    <t>EXAMES ADMISSIONAIS E DEMISSIONAIS</t>
  </si>
  <si>
    <t>CURSOS E TREINAMENTOS DE PESSOAL</t>
  </si>
  <si>
    <t>DESPESA DE VIAGENS</t>
  </si>
  <si>
    <t>LAZER (CHURRASCO, RECREAÇÃO)</t>
  </si>
  <si>
    <t>TOTAL DESP. PESSOAL</t>
  </si>
  <si>
    <t>SERVIÇOS DE TERCEIROS</t>
  </si>
  <si>
    <t xml:space="preserve">CONTROLE TECNOLOGICO </t>
  </si>
  <si>
    <t>TOPOGRAFIA</t>
  </si>
  <si>
    <t>VIGILANCIA</t>
  </si>
  <si>
    <t>CONSULTORIA</t>
  </si>
  <si>
    <t>VISTORIA, LAUDO PERICIAL</t>
  </si>
  <si>
    <t>INSTRUMENTAÇÃO</t>
  </si>
  <si>
    <t>TOTAL SERV. TERCEIROS</t>
  </si>
  <si>
    <t>TAXAS E EMOLUMENTOS</t>
  </si>
  <si>
    <t>ALVARÁ</t>
  </si>
  <si>
    <t xml:space="preserve">ART </t>
  </si>
  <si>
    <t>ANUIDADE CREA</t>
  </si>
  <si>
    <t>HABITE-SE</t>
  </si>
  <si>
    <t>AVERBAÇÃO (CARTORIO)</t>
  </si>
  <si>
    <t>LICENÇAS</t>
  </si>
  <si>
    <t>TOTAL TAXAS E EMOLUMENTOS</t>
  </si>
  <si>
    <t>SEGURO CONTRA ACIDENTE COLETIVO</t>
  </si>
  <si>
    <t>SEGURO CONTRA INCENDIO</t>
  </si>
  <si>
    <t>SEGURO DE RESPONSABILIDADE CIVIL</t>
  </si>
  <si>
    <t>SEGURO DE RISCOS DE ENGENHARIA</t>
  </si>
  <si>
    <t>SEGURO DE VIDA COLETIVO</t>
  </si>
  <si>
    <t>SEGURO CONTRA ROUBO</t>
  </si>
  <si>
    <t>SEGURO DE EQUIOAMENTO</t>
  </si>
  <si>
    <t>FRETE</t>
  </si>
  <si>
    <t>PROTEÇÃO DE ESTRUTURA EXISTENTE</t>
  </si>
  <si>
    <t>REMOÇÃO DE ENTULHOS DA OBRA</t>
  </si>
  <si>
    <t>ADMINISTRAÇÃO CENTRAL</t>
  </si>
  <si>
    <t>RISCOS E EVENTUAIS</t>
  </si>
  <si>
    <t>CUSTO FINANCEIRO</t>
  </si>
  <si>
    <t>TOTAL DIVERSOS</t>
  </si>
  <si>
    <t>QUADRO DE DURAÇÃO DAS ATIVIDADES E RECURSOS</t>
  </si>
  <si>
    <t>DESCRIÇÃO DO SERVIÇO</t>
  </si>
  <si>
    <t>UNID.</t>
  </si>
  <si>
    <t>QTDE</t>
  </si>
  <si>
    <t>EQUIPE BÁSICA</t>
  </si>
  <si>
    <t>ÍNDICE DA EQUIPE</t>
  </si>
  <si>
    <t>JORNADA (h/dia)</t>
  </si>
  <si>
    <t>DIAS DA EQUIPE BÁSICA</t>
  </si>
  <si>
    <t>DURAÇÃO ADOTADA (dias)</t>
  </si>
  <si>
    <t>QTDE DE EQUIPES</t>
  </si>
  <si>
    <t>RECURSOS</t>
  </si>
  <si>
    <t>PED</t>
  </si>
  <si>
    <t>CARP</t>
  </si>
  <si>
    <t>ARM</t>
  </si>
  <si>
    <t>ELET</t>
  </si>
  <si>
    <t>ENCA</t>
  </si>
  <si>
    <t>PINT</t>
  </si>
  <si>
    <t>AJUD</t>
  </si>
  <si>
    <t>SER</t>
  </si>
  <si>
    <t>h/m³</t>
  </si>
  <si>
    <t>h/und</t>
  </si>
  <si>
    <t>h/m²</t>
  </si>
  <si>
    <t>RESUMO ORÇAMENTO</t>
  </si>
  <si>
    <t>DESTRINCHADO</t>
  </si>
  <si>
    <t>CUSTO DIRETO</t>
  </si>
  <si>
    <t xml:space="preserve">PREÇO DE VENDA </t>
  </si>
  <si>
    <t>COMISSÃO</t>
  </si>
  <si>
    <t>TOTAL CD+CI</t>
  </si>
  <si>
    <t xml:space="preserve">TRIBUTOS </t>
  </si>
  <si>
    <t>IC SOBRE CD+CI</t>
  </si>
  <si>
    <t xml:space="preserve">SALDO CUSTO </t>
  </si>
  <si>
    <t>COFINS</t>
  </si>
  <si>
    <t>CUSTO FINANC</t>
  </si>
  <si>
    <t>PIS</t>
  </si>
  <si>
    <t>IMPREV E CONTIG</t>
  </si>
  <si>
    <t>ICMS</t>
  </si>
  <si>
    <t>ISS</t>
  </si>
  <si>
    <t>SALDO CUSTO</t>
  </si>
  <si>
    <t>IRPJ</t>
  </si>
  <si>
    <t>CSLL</t>
  </si>
  <si>
    <t xml:space="preserve">CUSTO DIRETO </t>
  </si>
  <si>
    <t>ALÍQUOTA %</t>
  </si>
  <si>
    <t>FAT ATÉ 180 K</t>
  </si>
  <si>
    <t>SALDO</t>
  </si>
  <si>
    <t>LUCRO LIQUIDO</t>
  </si>
  <si>
    <t>IMPOST + LUCRO</t>
  </si>
  <si>
    <t>BDI</t>
  </si>
  <si>
    <t>CRONOGRAMA FISICO-FINANCEIRO</t>
  </si>
  <si>
    <t>05 - 08 DEZ</t>
  </si>
  <si>
    <t>11 - 15 DEZ</t>
  </si>
  <si>
    <t>18 - 22 DEZ</t>
  </si>
  <si>
    <t>GERAL</t>
  </si>
  <si>
    <t>CÓDIGO</t>
  </si>
  <si>
    <t>SERVIÇOS</t>
  </si>
  <si>
    <t>VALOR (R$)</t>
  </si>
  <si>
    <t>PERC. (%)</t>
  </si>
  <si>
    <t>TOTAL (%)</t>
  </si>
  <si>
    <t>VALOR C/ BDI (R$)</t>
  </si>
  <si>
    <t>DESPESA ADMINISTRATIVA</t>
  </si>
  <si>
    <t>ELETRICA</t>
  </si>
  <si>
    <t>PONTO DE TOMADA RESIDENCIAL INCLUINDO TOMADA 10A/250V, CAIXA ELÉTRICA ELETRODUTO, CABO, RASGO, QUEBRA E CHUMBAMENTO.</t>
  </si>
  <si>
    <t>REVESTIMENTO CERÂMICO PARA PISO COM PLACAS TIPO ESMALTADA EXTRA DE DIMENSÕES 35X35 CM APLICADA EM AMBIENTES DE ÁREA ENTRE 5 M2 E 10 M2</t>
  </si>
  <si>
    <t xml:space="preserve">PINTURA </t>
  </si>
  <si>
    <t>APLICAÇÃO E LIXAMENTO DE MASSA LÁTEX EM PAREDES, DUAS DEMÃOS.</t>
  </si>
  <si>
    <t>APLICAÇÃO MANUAL DE PINTURA COM TINTA LÁTEX ACRÍLICA EM PAREDES, DUAS DEMÃOS.</t>
  </si>
  <si>
    <t xml:space="preserve">LIMPEZA FINAL   </t>
  </si>
  <si>
    <t xml:space="preserve">LIMPEZA FINAL DA OBRA </t>
  </si>
  <si>
    <t>RETIRADA DE ENTULHO</t>
  </si>
  <si>
    <t>TOTAIS SEMANA (R$)</t>
  </si>
  <si>
    <t>PORCENTAGEM SEMANA (%)</t>
  </si>
  <si>
    <t>TOTAIS ACUMULADOS (R$)</t>
  </si>
  <si>
    <t>PORCENTAGEM ACUMULADAS (%)</t>
  </si>
  <si>
    <t>#REF!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</si>
</sst>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R\$\ #,##0.00"/>
    <numFmt numFmtId="165" formatCode="[$R$ -416]#,##0.00"/>
    <numFmt numFmtId="166" formatCode="d\.m"/>
    <numFmt numFmtId="167" formatCode="_-&quot;R$&quot;\ * #,##0.00_-;\-&quot;R$&quot;\ * #,##0.00_-;_-&quot;R$&quot;\ * &quot;-&quot;??_-;_-@"/>
    <numFmt numFmtId="168" formatCode="&quot;R$&quot;\ #,##0.00"/>
    <numFmt numFmtId="169" formatCode="0.0%"/>
    <numFmt numFmtId="170" formatCode="_(* #,##0.00_);_(* \(#,##0.00\);_(* &quot;-&quot;??_);_(@_)"/>
    <numFmt numFmtId="171" formatCode="_-* #,##0.00_-;\-* #,##0.00_-;_-* &quot;-&quot;??_-;_-@"/>
  </numFmts>
  <fonts count="28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theme="1"/>
      <name val="Calibri"/>
    </font>
    <font>
      <b/>
      <sz val="10"/>
      <color theme="1"/>
      <name val="Arial"/>
    </font>
    <font>
      <sz val="10"/>
      <name val="Arial"/>
    </font>
    <font>
      <b/>
      <sz val="13"/>
      <color theme="1"/>
      <name val="Calibri"/>
    </font>
    <font>
      <b/>
      <sz val="11"/>
      <color rgb="FFFFFFFF"/>
      <name val="Calibri"/>
    </font>
    <font>
      <sz val="11"/>
      <color theme="1"/>
      <name val="Calibri"/>
    </font>
    <font>
      <sz val="10"/>
      <color theme="1"/>
      <name val="Arial"/>
      <scheme val="minor"/>
    </font>
    <font>
      <sz val="11"/>
      <color rgb="FF000000"/>
      <name val="Calibri"/>
    </font>
    <font>
      <b/>
      <sz val="10"/>
      <color theme="1"/>
      <name val="Arial"/>
      <scheme val="minor"/>
    </font>
    <font>
      <b/>
      <sz val="12"/>
      <color theme="1"/>
      <name val="Arial"/>
    </font>
    <font>
      <sz val="11"/>
      <color rgb="FFFFFFFF"/>
      <name val="Calibri"/>
    </font>
    <font>
      <b/>
      <sz val="11"/>
      <color rgb="FF000000"/>
      <name val="Calibri"/>
    </font>
    <font>
      <sz val="10"/>
      <color rgb="FF000000"/>
      <name val="Arial"/>
    </font>
    <font>
      <sz val="10"/>
      <color rgb="FF000000"/>
      <name val="Arial"/>
      <scheme val="minor"/>
    </font>
    <font>
      <sz val="9"/>
      <color rgb="FF000000"/>
      <name val="Roboto"/>
    </font>
    <font>
      <sz val="11"/>
      <color rgb="FFFF0000"/>
      <name val="Calibri"/>
    </font>
    <font>
      <sz val="10"/>
      <color rgb="FFFFFFFF"/>
      <name val="Arial"/>
    </font>
    <font>
      <sz val="8"/>
      <color theme="1"/>
      <name val="Arial"/>
    </font>
    <font>
      <sz val="8"/>
      <color theme="1"/>
      <name val="Arial"/>
      <scheme val="minor"/>
    </font>
    <font>
      <b/>
      <sz val="11"/>
      <color rgb="FFFF0000"/>
      <name val="Arial"/>
    </font>
    <font>
      <b/>
      <sz val="11"/>
      <color rgb="FFFF9900"/>
      <name val="Calibri"/>
    </font>
    <font>
      <b/>
      <sz val="22"/>
      <color rgb="FF595959"/>
      <name val="Calibri"/>
    </font>
    <font>
      <sz val="9"/>
      <color theme="1"/>
      <name val="Calibri"/>
    </font>
    <font>
      <sz val="11"/>
      <color rgb="FF006100"/>
      <name val="Calibri"/>
    </font>
    <font>
      <b/>
      <sz val="12"/>
      <color rgb="FFFFFFFF"/>
      <name val="Calibri"/>
    </font>
    <font>
      <sz val="11"/>
      <color rgb="FF9C650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262626"/>
        <bgColor rgb="FF262626"/>
      </patternFill>
    </fill>
    <fill>
      <patternFill patternType="solid">
        <fgColor rgb="FF595959"/>
        <bgColor rgb="FF595959"/>
      </patternFill>
    </fill>
    <fill>
      <patternFill patternType="solid">
        <fgColor rgb="FFFFFF00"/>
        <bgColor rgb="FFFFFF00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999999"/>
        <bgColor rgb="FF999999"/>
      </patternFill>
    </fill>
    <fill>
      <patternFill patternType="solid">
        <fgColor rgb="FFC6EFCE"/>
        <bgColor rgb="FFC6EFCE"/>
      </patternFill>
    </fill>
    <fill>
      <patternFill patternType="solid">
        <fgColor rgb="FF7F7F7F"/>
        <bgColor rgb="FF7F7F7F"/>
      </patternFill>
    </fill>
    <fill>
      <patternFill patternType="solid">
        <fgColor rgb="FFFFEB9C"/>
        <bgColor rgb="FFFFEB9C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0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left"/>
    </xf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/>
    <xf numFmtId="4" fontId="1" fillId="2" borderId="2" xfId="0" applyNumberFormat="1" applyFont="1" applyFill="1" applyBorder="1" applyAlignment="1">
      <alignment horizontal="left"/>
    </xf>
    <xf numFmtId="0" fontId="2" fillId="2" borderId="4" xfId="0" applyFont="1" applyFill="1" applyBorder="1" applyAlignment="1">
      <alignment wrapText="1"/>
    </xf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4" fontId="1" fillId="2" borderId="0" xfId="0" applyNumberFormat="1" applyFont="1" applyFill="1" applyAlignment="1">
      <alignment horizontal="left"/>
    </xf>
    <xf numFmtId="0" fontId="2" fillId="2" borderId="6" xfId="0" applyFont="1" applyFill="1" applyBorder="1" applyAlignment="1">
      <alignment wrapText="1"/>
    </xf>
    <xf numFmtId="0" fontId="2" fillId="2" borderId="7" xfId="0" applyFont="1" applyFill="1" applyBorder="1" applyAlignment="1">
      <alignment wrapText="1"/>
    </xf>
    <xf numFmtId="0" fontId="1" fillId="2" borderId="7" xfId="0" applyFont="1" applyFill="1" applyBorder="1" applyAlignment="1">
      <alignment horizontal="center"/>
    </xf>
    <xf numFmtId="0" fontId="1" fillId="2" borderId="7" xfId="0" applyFont="1" applyFill="1" applyBorder="1"/>
    <xf numFmtId="4" fontId="1" fillId="2" borderId="7" xfId="0" applyNumberFormat="1" applyFont="1" applyFill="1" applyBorder="1" applyAlignment="1">
      <alignment horizontal="left"/>
    </xf>
    <xf numFmtId="0" fontId="6" fillId="3" borderId="12" xfId="0" applyFont="1" applyFill="1" applyBorder="1"/>
    <xf numFmtId="0" fontId="6" fillId="3" borderId="11" xfId="0" applyFont="1" applyFill="1" applyBorder="1"/>
    <xf numFmtId="0" fontId="6" fillId="3" borderId="11" xfId="0" applyFont="1" applyFill="1" applyBorder="1" applyAlignment="1">
      <alignment horizontal="center"/>
    </xf>
    <xf numFmtId="4" fontId="6" fillId="3" borderId="10" xfId="0" applyNumberFormat="1" applyFont="1" applyFill="1" applyBorder="1" applyAlignment="1">
      <alignment horizontal="left"/>
    </xf>
    <xf numFmtId="0" fontId="6" fillId="3" borderId="10" xfId="0" applyFont="1" applyFill="1" applyBorder="1"/>
    <xf numFmtId="0" fontId="1" fillId="3" borderId="12" xfId="0" applyFont="1" applyFill="1" applyBorder="1"/>
    <xf numFmtId="0" fontId="1" fillId="3" borderId="11" xfId="0" applyFont="1" applyFill="1" applyBorder="1"/>
    <xf numFmtId="0" fontId="1" fillId="3" borderId="11" xfId="0" applyFont="1" applyFill="1" applyBorder="1" applyAlignment="1">
      <alignment horizontal="center"/>
    </xf>
    <xf numFmtId="4" fontId="1" fillId="3" borderId="13" xfId="0" applyNumberFormat="1" applyFont="1" applyFill="1" applyBorder="1" applyAlignment="1">
      <alignment horizontal="left"/>
    </xf>
    <xf numFmtId="0" fontId="1" fillId="3" borderId="10" xfId="0" applyFont="1" applyFill="1" applyBorder="1"/>
    <xf numFmtId="0" fontId="6" fillId="4" borderId="12" xfId="0" applyFont="1" applyFill="1" applyBorder="1" applyAlignment="1">
      <alignment horizontal="right"/>
    </xf>
    <xf numFmtId="0" fontId="6" fillId="4" borderId="11" xfId="0" applyFont="1" applyFill="1" applyBorder="1"/>
    <xf numFmtId="0" fontId="1" fillId="4" borderId="11" xfId="0" applyFont="1" applyFill="1" applyBorder="1" applyAlignment="1">
      <alignment horizontal="center"/>
    </xf>
    <xf numFmtId="0" fontId="1" fillId="4" borderId="11" xfId="0" applyFont="1" applyFill="1" applyBorder="1"/>
    <xf numFmtId="4" fontId="1" fillId="4" borderId="12" xfId="0" applyNumberFormat="1" applyFont="1" applyFill="1" applyBorder="1" applyAlignment="1">
      <alignment horizontal="left"/>
    </xf>
    <xf numFmtId="0" fontId="1" fillId="4" borderId="10" xfId="0" applyFont="1" applyFill="1" applyBorder="1"/>
    <xf numFmtId="49" fontId="7" fillId="0" borderId="12" xfId="0" applyNumberFormat="1" applyFont="1" applyBorder="1" applyAlignment="1">
      <alignment horizontal="right"/>
    </xf>
    <xf numFmtId="0" fontId="7" fillId="0" borderId="11" xfId="0" applyFont="1" applyBorder="1"/>
    <xf numFmtId="0" fontId="7" fillId="0" borderId="11" xfId="0" applyFont="1" applyBorder="1" applyAlignment="1">
      <alignment horizontal="center"/>
    </xf>
    <xf numFmtId="49" fontId="7" fillId="0" borderId="11" xfId="0" applyNumberFormat="1" applyFont="1" applyBorder="1" applyAlignment="1">
      <alignment horizontal="center"/>
    </xf>
    <xf numFmtId="4" fontId="1" fillId="0" borderId="12" xfId="0" applyNumberFormat="1" applyFont="1" applyBorder="1" applyAlignment="1">
      <alignment horizontal="left"/>
    </xf>
    <xf numFmtId="164" fontId="1" fillId="0" borderId="10" xfId="0" applyNumberFormat="1" applyFont="1" applyBorder="1"/>
    <xf numFmtId="0" fontId="7" fillId="2" borderId="11" xfId="0" applyFont="1" applyFill="1" applyBorder="1" applyAlignment="1">
      <alignment horizontal="center"/>
    </xf>
    <xf numFmtId="49" fontId="1" fillId="0" borderId="12" xfId="0" applyNumberFormat="1" applyFont="1" applyBorder="1" applyAlignment="1">
      <alignment horizontal="left"/>
    </xf>
    <xf numFmtId="49" fontId="1" fillId="2" borderId="12" xfId="0" applyNumberFormat="1" applyFont="1" applyFill="1" applyBorder="1" applyAlignment="1">
      <alignment horizontal="right"/>
    </xf>
    <xf numFmtId="0" fontId="7" fillId="2" borderId="11" xfId="0" applyFont="1" applyFill="1" applyBorder="1"/>
    <xf numFmtId="4" fontId="7" fillId="0" borderId="11" xfId="0" applyNumberFormat="1" applyFont="1" applyBorder="1" applyAlignment="1">
      <alignment horizontal="center"/>
    </xf>
    <xf numFmtId="4" fontId="1" fillId="2" borderId="12" xfId="0" applyNumberFormat="1" applyFont="1" applyFill="1" applyBorder="1" applyAlignment="1">
      <alignment horizontal="left"/>
    </xf>
    <xf numFmtId="164" fontId="1" fillId="2" borderId="10" xfId="0" applyNumberFormat="1" applyFont="1" applyFill="1" applyBorder="1"/>
    <xf numFmtId="0" fontId="6" fillId="2" borderId="11" xfId="0" applyFont="1" applyFill="1" applyBorder="1"/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/>
    <xf numFmtId="0" fontId="8" fillId="2" borderId="0" xfId="0" applyFont="1" applyFill="1"/>
    <xf numFmtId="49" fontId="1" fillId="0" borderId="12" xfId="0" applyNumberFormat="1" applyFont="1" applyBorder="1" applyAlignment="1">
      <alignment horizontal="right"/>
    </xf>
    <xf numFmtId="0" fontId="9" fillId="2" borderId="11" xfId="0" applyFont="1" applyFill="1" applyBorder="1"/>
    <xf numFmtId="9" fontId="1" fillId="0" borderId="0" xfId="0" applyNumberFormat="1" applyFont="1"/>
    <xf numFmtId="0" fontId="8" fillId="0" borderId="3" xfId="0" applyFont="1" applyBorder="1"/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8" fillId="0" borderId="0" xfId="0" applyFont="1"/>
    <xf numFmtId="0" fontId="8" fillId="0" borderId="4" xfId="0" applyFont="1" applyBorder="1"/>
    <xf numFmtId="0" fontId="8" fillId="0" borderId="18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19" xfId="0" applyFont="1" applyBorder="1"/>
    <xf numFmtId="0" fontId="8" fillId="0" borderId="1" xfId="0" applyFont="1" applyBorder="1"/>
    <xf numFmtId="0" fontId="10" fillId="0" borderId="3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8" fillId="0" borderId="5" xfId="0" applyFont="1" applyBorder="1"/>
    <xf numFmtId="0" fontId="8" fillId="0" borderId="8" xfId="0" applyFont="1" applyBorder="1"/>
    <xf numFmtId="0" fontId="1" fillId="2" borderId="2" xfId="0" applyFont="1" applyFill="1" applyBorder="1" applyAlignment="1">
      <alignment horizontal="left"/>
    </xf>
    <xf numFmtId="0" fontId="1" fillId="2" borderId="17" xfId="0" applyFont="1" applyFill="1" applyBorder="1"/>
    <xf numFmtId="165" fontId="3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165" fontId="1" fillId="2" borderId="18" xfId="0" applyNumberFormat="1" applyFont="1" applyFill="1" applyBorder="1"/>
    <xf numFmtId="165" fontId="1" fillId="0" borderId="0" xfId="0" applyNumberFormat="1" applyFont="1" applyAlignment="1">
      <alignment horizontal="center"/>
    </xf>
    <xf numFmtId="165" fontId="1" fillId="0" borderId="0" xfId="0" applyNumberFormat="1" applyFont="1"/>
    <xf numFmtId="0" fontId="5" fillId="2" borderId="4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right"/>
    </xf>
    <xf numFmtId="165" fontId="1" fillId="2" borderId="19" xfId="0" applyNumberFormat="1" applyFont="1" applyFill="1" applyBorder="1"/>
    <xf numFmtId="165" fontId="8" fillId="0" borderId="0" xfId="0" applyNumberFormat="1" applyFont="1"/>
    <xf numFmtId="0" fontId="6" fillId="6" borderId="14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5" xfId="0" applyFont="1" applyFill="1" applyBorder="1" applyAlignment="1">
      <alignment horizontal="center"/>
    </xf>
    <xf numFmtId="0" fontId="6" fillId="6" borderId="16" xfId="0" applyFont="1" applyFill="1" applyBorder="1" applyAlignment="1">
      <alignment horizontal="center"/>
    </xf>
    <xf numFmtId="0" fontId="12" fillId="6" borderId="7" xfId="0" applyFont="1" applyFill="1" applyBorder="1" applyAlignment="1">
      <alignment horizontal="center"/>
    </xf>
    <xf numFmtId="0" fontId="12" fillId="6" borderId="7" xfId="0" applyFont="1" applyFill="1" applyBorder="1" applyAlignment="1">
      <alignment horizontal="left"/>
    </xf>
    <xf numFmtId="165" fontId="12" fillId="6" borderId="7" xfId="0" applyNumberFormat="1" applyFont="1" applyFill="1" applyBorder="1" applyAlignment="1">
      <alignment horizontal="right"/>
    </xf>
    <xf numFmtId="49" fontId="12" fillId="7" borderId="2" xfId="0" applyNumberFormat="1" applyFont="1" applyFill="1" applyBorder="1" applyAlignment="1">
      <alignment horizontal="center"/>
    </xf>
    <xf numFmtId="0" fontId="12" fillId="7" borderId="2" xfId="0" applyFont="1" applyFill="1" applyBorder="1" applyAlignment="1">
      <alignment horizontal="left"/>
    </xf>
    <xf numFmtId="0" fontId="12" fillId="7" borderId="2" xfId="0" applyFont="1" applyFill="1" applyBorder="1" applyAlignment="1">
      <alignment horizontal="center"/>
    </xf>
    <xf numFmtId="165" fontId="12" fillId="7" borderId="2" xfId="0" applyNumberFormat="1" applyFont="1" applyFill="1" applyBorder="1" applyAlignment="1">
      <alignment horizontal="right"/>
    </xf>
    <xf numFmtId="165" fontId="12" fillId="7" borderId="0" xfId="0" applyNumberFormat="1" applyFont="1" applyFill="1" applyAlignment="1">
      <alignment horizontal="right"/>
    </xf>
    <xf numFmtId="0" fontId="12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65" fontId="7" fillId="5" borderId="0" xfId="0" applyNumberFormat="1" applyFont="1" applyFill="1" applyAlignment="1">
      <alignment horizontal="right"/>
    </xf>
    <xf numFmtId="165" fontId="7" fillId="0" borderId="0" xfId="0" applyNumberFormat="1" applyFont="1" applyAlignment="1">
      <alignment horizontal="right"/>
    </xf>
    <xf numFmtId="49" fontId="9" fillId="2" borderId="0" xfId="0" applyNumberFormat="1" applyFont="1" applyFill="1" applyAlignment="1">
      <alignment horizontal="right"/>
    </xf>
    <xf numFmtId="0" fontId="9" fillId="2" borderId="0" xfId="0" applyFont="1" applyFill="1" applyAlignment="1">
      <alignment horizontal="left"/>
    </xf>
    <xf numFmtId="0" fontId="13" fillId="2" borderId="0" xfId="0" applyFont="1" applyFill="1" applyAlignment="1">
      <alignment horizontal="right"/>
    </xf>
    <xf numFmtId="165" fontId="13" fillId="2" borderId="0" xfId="0" applyNumberFormat="1" applyFont="1" applyFill="1" applyAlignment="1">
      <alignment horizontal="right"/>
    </xf>
    <xf numFmtId="0" fontId="14" fillId="2" borderId="0" xfId="0" applyFont="1" applyFill="1" applyAlignment="1">
      <alignment horizontal="right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right"/>
    </xf>
    <xf numFmtId="49" fontId="12" fillId="7" borderId="0" xfId="0" applyNumberFormat="1" applyFont="1" applyFill="1" applyAlignment="1">
      <alignment horizontal="center"/>
    </xf>
    <xf numFmtId="49" fontId="12" fillId="7" borderId="0" xfId="0" applyNumberFormat="1" applyFont="1" applyFill="1" applyAlignment="1">
      <alignment horizontal="left"/>
    </xf>
    <xf numFmtId="165" fontId="1" fillId="0" borderId="0" xfId="0" applyNumberFormat="1" applyFont="1" applyAlignment="1">
      <alignment horizontal="right"/>
    </xf>
    <xf numFmtId="0" fontId="12" fillId="6" borderId="14" xfId="0" applyFont="1" applyFill="1" applyBorder="1" applyAlignment="1">
      <alignment horizontal="center"/>
    </xf>
    <xf numFmtId="0" fontId="12" fillId="6" borderId="15" xfId="0" applyFont="1" applyFill="1" applyBorder="1" applyAlignment="1">
      <alignment horizontal="left"/>
    </xf>
    <xf numFmtId="0" fontId="12" fillId="6" borderId="15" xfId="0" applyFont="1" applyFill="1" applyBorder="1" applyAlignment="1">
      <alignment horizontal="center"/>
    </xf>
    <xf numFmtId="165" fontId="12" fillId="6" borderId="15" xfId="0" applyNumberFormat="1" applyFont="1" applyFill="1" applyBorder="1" applyAlignment="1">
      <alignment horizontal="right"/>
    </xf>
    <xf numFmtId="165" fontId="12" fillId="6" borderId="16" xfId="0" applyNumberFormat="1" applyFont="1" applyFill="1" applyBorder="1" applyAlignment="1">
      <alignment horizontal="right"/>
    </xf>
    <xf numFmtId="49" fontId="12" fillId="7" borderId="2" xfId="0" applyNumberFormat="1" applyFont="1" applyFill="1" applyBorder="1" applyAlignment="1">
      <alignment horizontal="left"/>
    </xf>
    <xf numFmtId="4" fontId="12" fillId="7" borderId="2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49" fontId="9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horizontal="right"/>
    </xf>
    <xf numFmtId="0" fontId="16" fillId="2" borderId="0" xfId="0" applyFont="1" applyFill="1" applyAlignment="1">
      <alignment horizontal="left"/>
    </xf>
    <xf numFmtId="4" fontId="12" fillId="7" borderId="0" xfId="0" applyNumberFormat="1" applyFont="1" applyFill="1" applyAlignment="1">
      <alignment horizontal="center"/>
    </xf>
    <xf numFmtId="0" fontId="7" fillId="0" borderId="0" xfId="0" applyFont="1"/>
    <xf numFmtId="0" fontId="9" fillId="0" borderId="0" xfId="0" applyFont="1" applyAlignment="1">
      <alignment horizontal="left"/>
    </xf>
    <xf numFmtId="165" fontId="9" fillId="2" borderId="0" xfId="0" applyNumberFormat="1" applyFont="1" applyFill="1" applyAlignment="1">
      <alignment horizontal="right"/>
    </xf>
    <xf numFmtId="0" fontId="17" fillId="0" borderId="0" xfId="0" applyFont="1" applyAlignment="1">
      <alignment horizontal="left"/>
    </xf>
    <xf numFmtId="0" fontId="12" fillId="6" borderId="0" xfId="0" applyFont="1" applyFill="1" applyAlignment="1">
      <alignment horizontal="center"/>
    </xf>
    <xf numFmtId="0" fontId="12" fillId="6" borderId="0" xfId="0" applyFont="1" applyFill="1" applyAlignment="1">
      <alignment horizontal="left"/>
    </xf>
    <xf numFmtId="165" fontId="12" fillId="6" borderId="0" xfId="0" applyNumberFormat="1" applyFont="1" applyFill="1" applyAlignment="1">
      <alignment horizontal="right"/>
    </xf>
    <xf numFmtId="0" fontId="17" fillId="0" borderId="0" xfId="0" applyFont="1" applyAlignment="1">
      <alignment horizontal="center"/>
    </xf>
    <xf numFmtId="4" fontId="12" fillId="6" borderId="15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/>
    </xf>
    <xf numFmtId="0" fontId="1" fillId="2" borderId="22" xfId="0" applyFont="1" applyFill="1" applyBorder="1"/>
    <xf numFmtId="0" fontId="2" fillId="2" borderId="0" xfId="0" applyFont="1" applyFill="1" applyAlignment="1">
      <alignment horizontal="left" wrapText="1"/>
    </xf>
    <xf numFmtId="0" fontId="2" fillId="2" borderId="25" xfId="0" applyFont="1" applyFill="1" applyBorder="1" applyAlignment="1">
      <alignment horizontal="left" vertical="top"/>
    </xf>
    <xf numFmtId="0" fontId="2" fillId="2" borderId="24" xfId="0" applyFont="1" applyFill="1" applyBorder="1" applyAlignment="1">
      <alignment vertical="top"/>
    </xf>
    <xf numFmtId="0" fontId="1" fillId="2" borderId="24" xfId="0" applyFont="1" applyFill="1" applyBorder="1"/>
    <xf numFmtId="0" fontId="1" fillId="2" borderId="9" xfId="0" applyFont="1" applyFill="1" applyBorder="1" applyAlignment="1">
      <alignment horizontal="right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/>
    <xf numFmtId="0" fontId="6" fillId="6" borderId="0" xfId="0" applyFont="1" applyFill="1" applyAlignment="1">
      <alignment horizontal="center"/>
    </xf>
    <xf numFmtId="0" fontId="6" fillId="6" borderId="18" xfId="0" applyFont="1" applyFill="1" applyBorder="1" applyAlignment="1">
      <alignment horizontal="center"/>
    </xf>
    <xf numFmtId="0" fontId="6" fillId="7" borderId="0" xfId="0" applyFont="1" applyFill="1" applyAlignment="1">
      <alignment horizontal="right"/>
    </xf>
    <xf numFmtId="0" fontId="6" fillId="7" borderId="0" xfId="0" applyFont="1" applyFill="1" applyAlignment="1">
      <alignment horizontal="left"/>
    </xf>
    <xf numFmtId="0" fontId="6" fillId="7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7" borderId="18" xfId="0" applyFont="1" applyFill="1" applyBorder="1"/>
    <xf numFmtId="165" fontId="1" fillId="7" borderId="0" xfId="0" applyNumberFormat="1" applyFont="1" applyFill="1"/>
    <xf numFmtId="165" fontId="1" fillId="7" borderId="18" xfId="0" applyNumberFormat="1" applyFont="1" applyFill="1" applyBorder="1"/>
    <xf numFmtId="165" fontId="6" fillId="7" borderId="0" xfId="0" applyNumberFormat="1" applyFont="1" applyFill="1" applyAlignment="1">
      <alignment horizontal="right"/>
    </xf>
    <xf numFmtId="10" fontId="18" fillId="0" borderId="0" xfId="0" applyNumberFormat="1" applyFont="1" applyAlignment="1">
      <alignment horizontal="right"/>
    </xf>
    <xf numFmtId="166" fontId="7" fillId="0" borderId="0" xfId="0" applyNumberFormat="1" applyFont="1" applyAlignment="1">
      <alignment horizontal="right"/>
    </xf>
    <xf numFmtId="166" fontId="7" fillId="0" borderId="0" xfId="0" applyNumberFormat="1" applyFont="1"/>
    <xf numFmtId="166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165" fontId="7" fillId="0" borderId="18" xfId="0" applyNumberFormat="1" applyFont="1" applyBorder="1" applyAlignment="1">
      <alignment horizontal="right"/>
    </xf>
    <xf numFmtId="165" fontId="7" fillId="8" borderId="0" xfId="0" applyNumberFormat="1" applyFont="1" applyFill="1" applyAlignment="1">
      <alignment horizontal="right"/>
    </xf>
    <xf numFmtId="165" fontId="7" fillId="8" borderId="18" xfId="0" applyNumberFormat="1" applyFont="1" applyFill="1" applyBorder="1" applyAlignment="1">
      <alignment horizontal="right"/>
    </xf>
    <xf numFmtId="166" fontId="7" fillId="0" borderId="0" xfId="0" applyNumberFormat="1" applyFont="1" applyAlignment="1">
      <alignment horizontal="left"/>
    </xf>
    <xf numFmtId="0" fontId="6" fillId="7" borderId="0" xfId="0" applyFont="1" applyFill="1"/>
    <xf numFmtId="49" fontId="7" fillId="0" borderId="0" xfId="0" applyNumberFormat="1" applyFont="1" applyAlignment="1">
      <alignment horizontal="right"/>
    </xf>
    <xf numFmtId="49" fontId="7" fillId="0" borderId="0" xfId="0" applyNumberFormat="1" applyFont="1" applyAlignment="1">
      <alignment horizontal="left"/>
    </xf>
    <xf numFmtId="165" fontId="7" fillId="8" borderId="7" xfId="0" applyNumberFormat="1" applyFont="1" applyFill="1" applyBorder="1" applyAlignment="1">
      <alignment horizontal="right"/>
    </xf>
    <xf numFmtId="165" fontId="7" fillId="8" borderId="19" xfId="0" applyNumberFormat="1" applyFont="1" applyFill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7" xfId="0" applyFont="1" applyBorder="1"/>
    <xf numFmtId="9" fontId="14" fillId="0" borderId="0" xfId="0" applyNumberFormat="1" applyFont="1" applyAlignment="1">
      <alignment horizontal="center"/>
    </xf>
    <xf numFmtId="0" fontId="19" fillId="0" borderId="0" xfId="0" applyFont="1" applyAlignment="1">
      <alignment horizontal="right"/>
    </xf>
    <xf numFmtId="10" fontId="1" fillId="0" borderId="0" xfId="0" applyNumberFormat="1" applyFont="1" applyAlignment="1">
      <alignment horizontal="center"/>
    </xf>
    <xf numFmtId="0" fontId="20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7" fillId="0" borderId="18" xfId="0" applyFont="1" applyBorder="1"/>
    <xf numFmtId="0" fontId="6" fillId="4" borderId="0" xfId="0" applyFont="1" applyFill="1"/>
    <xf numFmtId="167" fontId="6" fillId="4" borderId="0" xfId="0" applyNumberFormat="1" applyFont="1" applyFill="1" applyAlignment="1">
      <alignment horizontal="right"/>
    </xf>
    <xf numFmtId="0" fontId="6" fillId="9" borderId="0" xfId="0" applyFont="1" applyFill="1"/>
    <xf numFmtId="0" fontId="6" fillId="9" borderId="0" xfId="0" applyFont="1" applyFill="1" applyAlignment="1">
      <alignment horizontal="center"/>
    </xf>
    <xf numFmtId="0" fontId="2" fillId="0" borderId="0" xfId="0" applyFont="1"/>
    <xf numFmtId="167" fontId="7" fillId="0" borderId="0" xfId="0" applyNumberFormat="1" applyFont="1" applyAlignment="1">
      <alignment horizontal="right"/>
    </xf>
    <xf numFmtId="167" fontId="9" fillId="10" borderId="0" xfId="0" applyNumberFormat="1" applyFont="1" applyFill="1" applyAlignment="1">
      <alignment horizontal="right"/>
    </xf>
    <xf numFmtId="0" fontId="7" fillId="0" borderId="0" xfId="0" applyFont="1" applyAlignment="1">
      <alignment horizontal="center" wrapText="1"/>
    </xf>
    <xf numFmtId="0" fontId="7" fillId="4" borderId="0" xfId="0" applyFont="1" applyFill="1"/>
    <xf numFmtId="0" fontId="7" fillId="0" borderId="0" xfId="0" applyFont="1" applyAlignment="1">
      <alignment wrapText="1"/>
    </xf>
    <xf numFmtId="167" fontId="7" fillId="0" borderId="0" xfId="0" applyNumberFormat="1" applyFont="1" applyAlignment="1">
      <alignment horizontal="center"/>
    </xf>
    <xf numFmtId="167" fontId="7" fillId="0" borderId="0" xfId="0" applyNumberFormat="1" applyFont="1"/>
    <xf numFmtId="0" fontId="12" fillId="0" borderId="0" xfId="0" applyFont="1"/>
    <xf numFmtId="0" fontId="7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0" borderId="11" xfId="0" applyFont="1" applyBorder="1" applyAlignment="1">
      <alignment horizontal="left"/>
    </xf>
    <xf numFmtId="0" fontId="6" fillId="11" borderId="12" xfId="0" applyFont="1" applyFill="1" applyBorder="1" applyAlignment="1">
      <alignment horizontal="left"/>
    </xf>
    <xf numFmtId="0" fontId="6" fillId="11" borderId="11" xfId="0" applyFont="1" applyFill="1" applyBorder="1" applyAlignment="1">
      <alignment horizontal="center"/>
    </xf>
    <xf numFmtId="0" fontId="6" fillId="11" borderId="11" xfId="0" applyFont="1" applyFill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12" xfId="0" applyFont="1" applyBorder="1" applyAlignment="1">
      <alignment horizontal="center"/>
    </xf>
    <xf numFmtId="0" fontId="7" fillId="0" borderId="11" xfId="0" applyFont="1" applyBorder="1" applyAlignment="1">
      <alignment horizontal="right"/>
    </xf>
    <xf numFmtId="0" fontId="2" fillId="0" borderId="1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49" fontId="7" fillId="0" borderId="12" xfId="0" applyNumberFormat="1" applyFont="1" applyBorder="1" applyAlignment="1">
      <alignment horizontal="center"/>
    </xf>
    <xf numFmtId="4" fontId="7" fillId="0" borderId="12" xfId="0" applyNumberFormat="1" applyFont="1" applyBorder="1" applyAlignment="1">
      <alignment horizontal="center"/>
    </xf>
    <xf numFmtId="0" fontId="9" fillId="0" borderId="7" xfId="0" applyFont="1" applyBorder="1"/>
    <xf numFmtId="0" fontId="7" fillId="0" borderId="7" xfId="0" applyFont="1" applyBorder="1"/>
    <xf numFmtId="0" fontId="13" fillId="0" borderId="11" xfId="0" applyFont="1" applyBorder="1"/>
    <xf numFmtId="168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0" fontId="9" fillId="0" borderId="10" xfId="0" applyFont="1" applyBorder="1"/>
    <xf numFmtId="169" fontId="7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9" fillId="0" borderId="0" xfId="0" applyFont="1"/>
    <xf numFmtId="0" fontId="13" fillId="0" borderId="0" xfId="0" applyFont="1"/>
    <xf numFmtId="0" fontId="24" fillId="0" borderId="0" xfId="0" applyFont="1"/>
    <xf numFmtId="0" fontId="13" fillId="0" borderId="28" xfId="0" applyFont="1" applyBorder="1"/>
    <xf numFmtId="10" fontId="2" fillId="0" borderId="7" xfId="0" applyNumberFormat="1" applyFont="1" applyBorder="1" applyAlignment="1">
      <alignment horizontal="center"/>
    </xf>
    <xf numFmtId="0" fontId="7" fillId="0" borderId="19" xfId="0" applyFont="1" applyBorder="1"/>
    <xf numFmtId="170" fontId="7" fillId="0" borderId="7" xfId="0" applyNumberFormat="1" applyFont="1" applyBorder="1"/>
    <xf numFmtId="0" fontId="7" fillId="9" borderId="11" xfId="0" applyFont="1" applyFill="1" applyBorder="1"/>
    <xf numFmtId="0" fontId="6" fillId="9" borderId="11" xfId="0" applyFont="1" applyFill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11" xfId="0" applyFont="1" applyBorder="1" applyAlignment="1">
      <alignment horizontal="center" wrapText="1"/>
    </xf>
    <xf numFmtId="0" fontId="2" fillId="0" borderId="11" xfId="0" applyFont="1" applyBorder="1"/>
    <xf numFmtId="171" fontId="7" fillId="0" borderId="11" xfId="0" applyNumberFormat="1" applyFont="1" applyBorder="1" applyAlignment="1">
      <alignment horizontal="right"/>
    </xf>
    <xf numFmtId="171" fontId="25" fillId="12" borderId="11" xfId="0" applyNumberFormat="1" applyFont="1" applyFill="1" applyBorder="1" applyAlignment="1">
      <alignment horizontal="right"/>
    </xf>
    <xf numFmtId="167" fontId="7" fillId="0" borderId="11" xfId="0" applyNumberFormat="1" applyFont="1" applyBorder="1" applyAlignment="1">
      <alignment horizontal="center"/>
    </xf>
    <xf numFmtId="167" fontId="7" fillId="0" borderId="11" xfId="0" applyNumberFormat="1" applyFont="1" applyBorder="1" applyAlignment="1">
      <alignment horizontal="center" wrapText="1"/>
    </xf>
    <xf numFmtId="10" fontId="7" fillId="0" borderId="27" xfId="0" applyNumberFormat="1" applyFont="1" applyBorder="1" applyAlignment="1">
      <alignment horizontal="right"/>
    </xf>
    <xf numFmtId="0" fontId="26" fillId="13" borderId="11" xfId="0" applyFont="1" applyFill="1" applyBorder="1"/>
    <xf numFmtId="0" fontId="2" fillId="0" borderId="11" xfId="0" applyFont="1" applyBorder="1" applyAlignment="1">
      <alignment wrapText="1"/>
    </xf>
    <xf numFmtId="171" fontId="7" fillId="0" borderId="27" xfId="0" applyNumberFormat="1" applyFont="1" applyBorder="1" applyAlignment="1">
      <alignment horizontal="right"/>
    </xf>
    <xf numFmtId="171" fontId="27" fillId="14" borderId="11" xfId="0" applyNumberFormat="1" applyFont="1" applyFill="1" applyBorder="1" applyAlignment="1">
      <alignment horizontal="right"/>
    </xf>
    <xf numFmtId="166" fontId="6" fillId="9" borderId="11" xfId="0" applyNumberFormat="1" applyFont="1" applyFill="1" applyBorder="1" applyAlignment="1">
      <alignment horizontal="center"/>
    </xf>
    <xf numFmtId="166" fontId="7" fillId="0" borderId="28" xfId="0" applyNumberFormat="1" applyFont="1" applyBorder="1"/>
    <xf numFmtId="0" fontId="7" fillId="0" borderId="28" xfId="0" applyFont="1" applyBorder="1"/>
    <xf numFmtId="171" fontId="7" fillId="0" borderId="28" xfId="0" applyNumberFormat="1" applyFont="1" applyBorder="1"/>
    <xf numFmtId="171" fontId="7" fillId="0" borderId="19" xfId="0" applyNumberFormat="1" applyFont="1" applyBorder="1"/>
    <xf numFmtId="10" fontId="7" fillId="0" borderId="28" xfId="0" applyNumberFormat="1" applyFont="1" applyBorder="1"/>
    <xf numFmtId="10" fontId="7" fillId="0" borderId="19" xfId="0" applyNumberFormat="1" applyFont="1" applyBorder="1"/>
    <xf numFmtId="171" fontId="2" fillId="0" borderId="10" xfId="0" applyNumberFormat="1" applyFont="1" applyBorder="1" applyAlignment="1">
      <alignment horizontal="right"/>
    </xf>
    <xf numFmtId="171" fontId="7" fillId="0" borderId="11" xfId="0" applyNumberFormat="1" applyFont="1" applyBorder="1"/>
    <xf numFmtId="10" fontId="7" fillId="0" borderId="11" xfId="0" applyNumberFormat="1" applyFont="1" applyBorder="1"/>
    <xf numFmtId="10" fontId="7" fillId="0" borderId="27" xfId="0" applyNumberFormat="1" applyFont="1" applyBorder="1"/>
    <xf numFmtId="10" fontId="2" fillId="0" borderId="7" xfId="0" applyNumberFormat="1" applyFont="1" applyBorder="1" applyAlignment="1">
      <alignment horizontal="right"/>
    </xf>
    <xf numFmtId="171" fontId="2" fillId="0" borderId="28" xfId="0" applyNumberFormat="1" applyFont="1" applyBorder="1" applyAlignment="1">
      <alignment horizontal="right"/>
    </xf>
    <xf numFmtId="10" fontId="2" fillId="0" borderId="19" xfId="0" applyNumberFormat="1" applyFont="1" applyBorder="1" applyAlignment="1">
      <alignment horizontal="right"/>
    </xf>
    <xf numFmtId="0" fontId="3" fillId="2" borderId="3" xfId="0" applyFont="1" applyFill="1" applyBorder="1" applyAlignment="1">
      <alignment horizontal="center" vertical="center"/>
    </xf>
    <xf numFmtId="0" fontId="4" fillId="0" borderId="5" xfId="0" applyFont="1" applyBorder="1"/>
    <xf numFmtId="0" fontId="4" fillId="0" borderId="8" xfId="0" applyFont="1" applyBorder="1"/>
    <xf numFmtId="0" fontId="5" fillId="2" borderId="9" xfId="0" applyFont="1" applyFill="1" applyBorder="1" applyAlignment="1">
      <alignment horizontal="center"/>
    </xf>
    <xf numFmtId="0" fontId="4" fillId="0" borderId="10" xfId="0" applyFont="1" applyBorder="1"/>
    <xf numFmtId="0" fontId="4" fillId="0" borderId="11" xfId="0" applyFont="1" applyBorder="1"/>
    <xf numFmtId="0" fontId="0" fillId="0" borderId="0" xfId="0"/>
    <xf numFmtId="0" fontId="10" fillId="0" borderId="14" xfId="0" applyFont="1" applyBorder="1" applyAlignment="1">
      <alignment horizontal="center"/>
    </xf>
    <xf numFmtId="0" fontId="4" fillId="0" borderId="16" xfId="0" applyFont="1" applyBorder="1"/>
    <xf numFmtId="0" fontId="4" fillId="0" borderId="15" xfId="0" applyFont="1" applyBorder="1"/>
    <xf numFmtId="0" fontId="10" fillId="5" borderId="0" xfId="0" applyFont="1" applyFill="1" applyAlignment="1">
      <alignment horizontal="center"/>
    </xf>
    <xf numFmtId="0" fontId="10" fillId="5" borderId="14" xfId="0" applyFont="1" applyFill="1" applyBorder="1" applyAlignment="1">
      <alignment horizontal="center"/>
    </xf>
    <xf numFmtId="0" fontId="11" fillId="5" borderId="0" xfId="0" applyFont="1" applyFill="1" applyAlignment="1">
      <alignment horizontal="center"/>
    </xf>
    <xf numFmtId="0" fontId="11" fillId="5" borderId="14" xfId="0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0" fontId="6" fillId="6" borderId="18" xfId="0" applyFont="1" applyFill="1" applyBorder="1" applyAlignment="1">
      <alignment horizontal="center"/>
    </xf>
    <xf numFmtId="0" fontId="4" fillId="0" borderId="18" xfId="0" applyFont="1" applyBorder="1"/>
    <xf numFmtId="0" fontId="8" fillId="0" borderId="0" xfId="0" applyFont="1" applyAlignment="1">
      <alignment horizontal="center"/>
    </xf>
    <xf numFmtId="0" fontId="3" fillId="2" borderId="22" xfId="0" applyFont="1" applyFill="1" applyBorder="1" applyAlignment="1">
      <alignment horizontal="center" vertical="center"/>
    </xf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5" fillId="2" borderId="25" xfId="0" applyFont="1" applyFill="1" applyBorder="1" applyAlignment="1">
      <alignment horizontal="center"/>
    </xf>
    <xf numFmtId="0" fontId="6" fillId="6" borderId="0" xfId="0" applyFont="1" applyFill="1" applyAlignment="1">
      <alignment horizontal="right"/>
    </xf>
    <xf numFmtId="0" fontId="6" fillId="6" borderId="0" xfId="0" applyFont="1" applyFill="1"/>
    <xf numFmtId="0" fontId="21" fillId="0" borderId="1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22" fillId="4" borderId="0" xfId="0" applyFont="1" applyFill="1"/>
    <xf numFmtId="0" fontId="7" fillId="0" borderId="0" xfId="0" applyFont="1" applyAlignment="1">
      <alignment horizontal="center" vertical="center" wrapText="1"/>
    </xf>
    <xf numFmtId="0" fontId="6" fillId="4" borderId="0" xfId="0" applyFont="1" applyFill="1"/>
    <xf numFmtId="0" fontId="7" fillId="0" borderId="0" xfId="0" applyFont="1"/>
    <xf numFmtId="0" fontId="2" fillId="0" borderId="26" xfId="0" applyFont="1" applyBorder="1" applyAlignment="1">
      <alignment horizontal="center" wrapText="1"/>
    </xf>
    <xf numFmtId="0" fontId="4" fillId="0" borderId="12" xfId="0" applyFont="1" applyBorder="1"/>
    <xf numFmtId="0" fontId="7" fillId="0" borderId="26" xfId="0" applyFont="1" applyBorder="1" applyAlignment="1">
      <alignment horizontal="center" wrapText="1"/>
    </xf>
    <xf numFmtId="0" fontId="2" fillId="0" borderId="10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25" xfId="0" applyFont="1" applyBorder="1" applyAlignment="1">
      <alignment horizontal="center" wrapText="1"/>
    </xf>
    <xf numFmtId="0" fontId="4" fillId="0" borderId="9" xfId="0" applyFont="1" applyBorder="1"/>
    <xf numFmtId="0" fontId="23" fillId="0" borderId="7" xfId="0" applyFont="1" applyBorder="1" applyAlignment="1">
      <alignment horizontal="center"/>
    </xf>
    <xf numFmtId="0" fontId="4" fillId="0" borderId="7" xfId="0" applyFont="1" applyBorder="1"/>
    <xf numFmtId="0" fontId="4" fillId="0" borderId="19" xfId="0" applyFont="1" applyBorder="1"/>
    <xf numFmtId="0" fontId="13" fillId="0" borderId="10" xfId="0" applyFont="1" applyBorder="1" applyAlignment="1">
      <alignment horizontal="center"/>
    </xf>
    <xf numFmtId="0" fontId="4" fillId="0" borderId="27" xfId="0" applyFont="1" applyBorder="1"/>
    <xf numFmtId="167" fontId="2" fillId="0" borderId="0" xfId="0" applyNumberFormat="1" applyFont="1" applyAlignment="1">
      <alignment vertical="center"/>
    </xf>
    <xf numFmtId="0" fontId="6" fillId="4" borderId="0" xfId="0" applyFont="1" applyFill="1" applyAlignment="1">
      <alignment horizontal="center"/>
    </xf>
    <xf numFmtId="0" fontId="6" fillId="9" borderId="10" xfId="0" applyFont="1" applyFill="1" applyBorder="1" applyAlignment="1">
      <alignment horizontal="center"/>
    </xf>
    <xf numFmtId="171" fontId="2" fillId="0" borderId="10" xfId="0" applyNumberFormat="1" applyFont="1" applyBorder="1" applyAlignment="1">
      <alignment horizontal="right"/>
    </xf>
    <xf numFmtId="10" fontId="2" fillId="0" borderId="7" xfId="0" applyNumberFormat="1" applyFont="1" applyBorder="1" applyAlignment="1">
      <alignment horizontal="right"/>
    </xf>
    <xf numFmtId="0" fontId="4" fillId="0" borderId="28" xfId="0" applyFont="1" applyBorder="1"/>
    <xf numFmtId="0" fontId="6" fillId="4" borderId="10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$%20OBR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$ OB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30"/>
  <sheetViews>
    <sheetView workbookViewId="0"/>
  </sheetViews>
  <sheetFormatPr defaultColWidth="12.6640625" defaultRowHeight="15.75" customHeight="1" outlineLevelRow="1" x14ac:dyDescent="0.25"/>
  <cols>
    <col min="1" max="1" width="7.88671875" customWidth="1"/>
    <col min="2" max="2" width="66.77734375" customWidth="1"/>
    <col min="3" max="3" width="4.6640625" customWidth="1"/>
    <col min="4" max="4" width="5.44140625" customWidth="1"/>
    <col min="5" max="5" width="5.88671875" customWidth="1"/>
    <col min="6" max="6" width="74.88671875" customWidth="1"/>
  </cols>
  <sheetData>
    <row r="1" spans="1:20" x14ac:dyDescent="0.25">
      <c r="A1" s="1"/>
      <c r="B1" s="1"/>
      <c r="C1" s="2"/>
      <c r="D1" s="1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.75" customHeight="1" x14ac:dyDescent="0.3">
      <c r="A2" s="4" t="s">
        <v>0</v>
      </c>
      <c r="B2" s="5" t="s">
        <v>1</v>
      </c>
      <c r="C2" s="6"/>
      <c r="D2" s="7"/>
      <c r="E2" s="8"/>
      <c r="F2" s="253" t="s">
        <v>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5.75" customHeight="1" x14ac:dyDescent="0.3">
      <c r="A3" s="9" t="s">
        <v>3</v>
      </c>
      <c r="B3" s="10" t="s">
        <v>1</v>
      </c>
      <c r="C3" s="11"/>
      <c r="D3" s="12"/>
      <c r="E3" s="13"/>
      <c r="F3" s="25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5.75" customHeight="1" x14ac:dyDescent="0.3">
      <c r="A4" s="14" t="s">
        <v>4</v>
      </c>
      <c r="B4" s="15" t="s">
        <v>1</v>
      </c>
      <c r="C4" s="16"/>
      <c r="D4" s="17"/>
      <c r="E4" s="18"/>
      <c r="F4" s="255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.75" customHeight="1" x14ac:dyDescent="0.35">
      <c r="A5" s="256" t="s">
        <v>5</v>
      </c>
      <c r="B5" s="257"/>
      <c r="C5" s="257"/>
      <c r="D5" s="257"/>
      <c r="E5" s="257"/>
      <c r="F5" s="258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5.75" customHeight="1" x14ac:dyDescent="0.3">
      <c r="A6" s="19" t="s">
        <v>6</v>
      </c>
      <c r="B6" s="20" t="s">
        <v>7</v>
      </c>
      <c r="C6" s="21" t="s">
        <v>8</v>
      </c>
      <c r="D6" s="21" t="s">
        <v>9</v>
      </c>
      <c r="E6" s="22" t="s">
        <v>10</v>
      </c>
      <c r="F6" s="23" t="s">
        <v>11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25">
      <c r="A7" s="24"/>
      <c r="B7" s="25"/>
      <c r="C7" s="26"/>
      <c r="D7" s="25"/>
      <c r="E7" s="27"/>
      <c r="F7" s="28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5.75" customHeight="1" x14ac:dyDescent="0.3">
      <c r="A8" s="29">
        <v>1</v>
      </c>
      <c r="B8" s="30" t="s">
        <v>12</v>
      </c>
      <c r="C8" s="31"/>
      <c r="D8" s="32"/>
      <c r="E8" s="33"/>
      <c r="F8" s="3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5.75" customHeight="1" outlineLevel="1" x14ac:dyDescent="0.3">
      <c r="A9" s="35" t="s">
        <v>13</v>
      </c>
      <c r="B9" s="36" t="s">
        <v>14</v>
      </c>
      <c r="C9" s="37" t="s">
        <v>15</v>
      </c>
      <c r="D9" s="38">
        <f t="shared" ref="D9:D13" si="0">E9</f>
        <v>1</v>
      </c>
      <c r="E9" s="39">
        <v>1</v>
      </c>
      <c r="F9" s="40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5.75" customHeight="1" outlineLevel="1" x14ac:dyDescent="0.3">
      <c r="A10" s="35" t="s">
        <v>16</v>
      </c>
      <c r="B10" s="36" t="s">
        <v>17</v>
      </c>
      <c r="C10" s="37" t="s">
        <v>15</v>
      </c>
      <c r="D10" s="38">
        <f t="shared" si="0"/>
        <v>1</v>
      </c>
      <c r="E10" s="39">
        <v>1</v>
      </c>
      <c r="F10" s="40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5.75" customHeight="1" outlineLevel="1" x14ac:dyDescent="0.3">
      <c r="A11" s="35" t="s">
        <v>18</v>
      </c>
      <c r="B11" s="36" t="s">
        <v>19</v>
      </c>
      <c r="C11" s="37" t="s">
        <v>20</v>
      </c>
      <c r="D11" s="38">
        <f t="shared" si="0"/>
        <v>1</v>
      </c>
      <c r="E11" s="39">
        <v>1</v>
      </c>
      <c r="F11" s="40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5.75" customHeight="1" outlineLevel="1" x14ac:dyDescent="0.3">
      <c r="A12" s="35" t="s">
        <v>21</v>
      </c>
      <c r="B12" s="36" t="s">
        <v>22</v>
      </c>
      <c r="C12" s="37" t="s">
        <v>23</v>
      </c>
      <c r="D12" s="38">
        <f t="shared" si="0"/>
        <v>1</v>
      </c>
      <c r="E12" s="39">
        <v>1</v>
      </c>
      <c r="F12" s="4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5.75" customHeight="1" outlineLevel="1" x14ac:dyDescent="0.3">
      <c r="A13" s="35" t="s">
        <v>24</v>
      </c>
      <c r="B13" s="36" t="s">
        <v>25</v>
      </c>
      <c r="C13" s="37" t="s">
        <v>20</v>
      </c>
      <c r="D13" s="38">
        <f t="shared" si="0"/>
        <v>1</v>
      </c>
      <c r="E13" s="39">
        <v>1</v>
      </c>
      <c r="F13" s="4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5.75" customHeight="1" x14ac:dyDescent="0.3">
      <c r="A14" s="29">
        <v>2</v>
      </c>
      <c r="B14" s="30" t="s">
        <v>26</v>
      </c>
      <c r="C14" s="31"/>
      <c r="D14" s="32"/>
      <c r="E14" s="33"/>
      <c r="F14" s="34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5.75" customHeight="1" outlineLevel="1" x14ac:dyDescent="0.3">
      <c r="A15" s="35" t="s">
        <v>27</v>
      </c>
      <c r="B15" s="36" t="s">
        <v>28</v>
      </c>
      <c r="C15" s="41" t="s">
        <v>29</v>
      </c>
      <c r="D15" s="38" t="str">
        <f t="shared" ref="D15:D23" si="1">E15</f>
        <v>1,00</v>
      </c>
      <c r="E15" s="42" t="s">
        <v>30</v>
      </c>
      <c r="F15" s="40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5.75" customHeight="1" outlineLevel="1" x14ac:dyDescent="0.3">
      <c r="A16" s="35" t="s">
        <v>31</v>
      </c>
      <c r="B16" s="36" t="s">
        <v>32</v>
      </c>
      <c r="C16" s="37" t="s">
        <v>8</v>
      </c>
      <c r="D16" s="38" t="str">
        <f t="shared" si="1"/>
        <v>1,00</v>
      </c>
      <c r="E16" s="42" t="s">
        <v>30</v>
      </c>
      <c r="F16" s="40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7" ht="15.75" customHeight="1" outlineLevel="1" x14ac:dyDescent="0.3">
      <c r="A17" s="35" t="s">
        <v>33</v>
      </c>
      <c r="B17" s="36" t="s">
        <v>34</v>
      </c>
      <c r="C17" s="37" t="s">
        <v>23</v>
      </c>
      <c r="D17" s="38" t="str">
        <f t="shared" si="1"/>
        <v>1,00</v>
      </c>
      <c r="E17" s="42" t="s">
        <v>30</v>
      </c>
      <c r="F17" s="40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7" ht="15.75" customHeight="1" outlineLevel="1" x14ac:dyDescent="0.3">
      <c r="A18" s="35" t="s">
        <v>35</v>
      </c>
      <c r="B18" s="36" t="s">
        <v>36</v>
      </c>
      <c r="C18" s="37" t="s">
        <v>20</v>
      </c>
      <c r="D18" s="38" t="str">
        <f t="shared" si="1"/>
        <v>1,00</v>
      </c>
      <c r="E18" s="42" t="s">
        <v>30</v>
      </c>
      <c r="F18" s="40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7" ht="15.75" customHeight="1" outlineLevel="1" x14ac:dyDescent="0.3">
      <c r="A19" s="35" t="s">
        <v>37</v>
      </c>
      <c r="B19" s="36" t="s">
        <v>38</v>
      </c>
      <c r="C19" s="41" t="s">
        <v>29</v>
      </c>
      <c r="D19" s="38" t="str">
        <f t="shared" si="1"/>
        <v>1,00</v>
      </c>
      <c r="E19" s="42" t="s">
        <v>30</v>
      </c>
      <c r="F19" s="40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7" ht="15.75" customHeight="1" outlineLevel="1" x14ac:dyDescent="0.3">
      <c r="A20" s="35" t="s">
        <v>39</v>
      </c>
      <c r="B20" s="36" t="s">
        <v>40</v>
      </c>
      <c r="C20" s="41" t="s">
        <v>29</v>
      </c>
      <c r="D20" s="38" t="str">
        <f t="shared" si="1"/>
        <v>1,00</v>
      </c>
      <c r="E20" s="42" t="s">
        <v>30</v>
      </c>
      <c r="F20" s="40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7" ht="15.75" customHeight="1" outlineLevel="1" x14ac:dyDescent="0.3">
      <c r="A21" s="35" t="s">
        <v>41</v>
      </c>
      <c r="B21" s="36" t="s">
        <v>42</v>
      </c>
      <c r="C21" s="41" t="s">
        <v>29</v>
      </c>
      <c r="D21" s="38" t="str">
        <f t="shared" si="1"/>
        <v>1,00</v>
      </c>
      <c r="E21" s="42" t="s">
        <v>30</v>
      </c>
      <c r="F21" s="4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7" ht="15.75" customHeight="1" outlineLevel="1" x14ac:dyDescent="0.3">
      <c r="A22" s="35" t="s">
        <v>43</v>
      </c>
      <c r="B22" s="36" t="s">
        <v>44</v>
      </c>
      <c r="C22" s="37" t="s">
        <v>20</v>
      </c>
      <c r="D22" s="38" t="str">
        <f t="shared" si="1"/>
        <v>1,00</v>
      </c>
      <c r="E22" s="42" t="s">
        <v>30</v>
      </c>
      <c r="F22" s="40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7" ht="14.4" outlineLevel="1" x14ac:dyDescent="0.3">
      <c r="A23" s="35" t="s">
        <v>45</v>
      </c>
      <c r="B23" s="36" t="s">
        <v>46</v>
      </c>
      <c r="C23" s="37" t="s">
        <v>20</v>
      </c>
      <c r="D23" s="38" t="str">
        <f t="shared" si="1"/>
        <v>1,00</v>
      </c>
      <c r="E23" s="42" t="s">
        <v>30</v>
      </c>
      <c r="F23" s="40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7" ht="14.4" x14ac:dyDescent="0.3">
      <c r="A24" s="29">
        <v>3</v>
      </c>
      <c r="B24" s="30" t="s">
        <v>47</v>
      </c>
      <c r="C24" s="31"/>
      <c r="D24" s="32"/>
      <c r="E24" s="33"/>
      <c r="F24" s="34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7" ht="14.4" outlineLevel="1" x14ac:dyDescent="0.3">
      <c r="A25" s="43" t="s">
        <v>48</v>
      </c>
      <c r="B25" s="44" t="s">
        <v>49</v>
      </c>
      <c r="C25" s="41" t="s">
        <v>29</v>
      </c>
      <c r="D25" s="45">
        <f t="shared" ref="D25:D28" si="2">E25</f>
        <v>1</v>
      </c>
      <c r="E25" s="46">
        <v>1</v>
      </c>
      <c r="F25" s="47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7" ht="14.4" outlineLevel="1" x14ac:dyDescent="0.3">
      <c r="A26" s="43" t="s">
        <v>50</v>
      </c>
      <c r="B26" s="48"/>
      <c r="C26" s="49"/>
      <c r="D26" s="45">
        <f t="shared" si="2"/>
        <v>0</v>
      </c>
      <c r="E26" s="46"/>
      <c r="F26" s="50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51"/>
      <c r="V26" s="51"/>
      <c r="W26" s="51"/>
      <c r="X26" s="51"/>
      <c r="Y26" s="51"/>
      <c r="Z26" s="51"/>
      <c r="AA26" s="51"/>
    </row>
    <row r="27" spans="1:27" ht="14.4" outlineLevel="1" x14ac:dyDescent="0.3">
      <c r="A27" s="43" t="s">
        <v>51</v>
      </c>
      <c r="B27" s="48"/>
      <c r="C27" s="49"/>
      <c r="D27" s="45">
        <f t="shared" si="2"/>
        <v>0</v>
      </c>
      <c r="E27" s="46"/>
      <c r="F27" s="50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51"/>
      <c r="V27" s="51"/>
      <c r="W27" s="51"/>
      <c r="X27" s="51"/>
      <c r="Y27" s="51"/>
      <c r="Z27" s="51"/>
      <c r="AA27" s="51"/>
    </row>
    <row r="28" spans="1:27" ht="14.4" outlineLevel="1" x14ac:dyDescent="0.3">
      <c r="A28" s="43" t="s">
        <v>52</v>
      </c>
      <c r="B28" s="48"/>
      <c r="C28" s="49"/>
      <c r="D28" s="45">
        <f t="shared" si="2"/>
        <v>0</v>
      </c>
      <c r="E28" s="46"/>
      <c r="F28" s="50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51"/>
      <c r="V28" s="51"/>
      <c r="W28" s="51"/>
      <c r="X28" s="51"/>
      <c r="Y28" s="51"/>
      <c r="Z28" s="51"/>
      <c r="AA28" s="51"/>
    </row>
    <row r="29" spans="1:27" ht="14.4" x14ac:dyDescent="0.3">
      <c r="A29" s="29">
        <v>4</v>
      </c>
      <c r="B29" s="30" t="s">
        <v>53</v>
      </c>
      <c r="C29" s="31"/>
      <c r="D29" s="32"/>
      <c r="E29" s="33"/>
      <c r="F29" s="34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7" ht="14.4" outlineLevel="1" x14ac:dyDescent="0.3">
      <c r="A30" s="52" t="s">
        <v>54</v>
      </c>
      <c r="B30" s="36" t="s">
        <v>55</v>
      </c>
      <c r="C30" s="37" t="s">
        <v>20</v>
      </c>
      <c r="D30" s="45">
        <f t="shared" ref="D30:D34" si="3">E30</f>
        <v>10</v>
      </c>
      <c r="E30" s="39">
        <v>10</v>
      </c>
      <c r="F30" s="40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7" ht="14.4" outlineLevel="1" x14ac:dyDescent="0.3">
      <c r="A31" s="52" t="s">
        <v>56</v>
      </c>
      <c r="B31" s="36" t="s">
        <v>57</v>
      </c>
      <c r="C31" s="37" t="s">
        <v>20</v>
      </c>
      <c r="D31" s="45">
        <f t="shared" si="3"/>
        <v>1</v>
      </c>
      <c r="E31" s="39">
        <v>1</v>
      </c>
      <c r="F31" s="40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7" ht="14.4" outlineLevel="1" x14ac:dyDescent="0.3">
      <c r="A32" s="52" t="s">
        <v>58</v>
      </c>
      <c r="B32" s="36" t="s">
        <v>59</v>
      </c>
      <c r="C32" s="37" t="s">
        <v>20</v>
      </c>
      <c r="D32" s="45">
        <f t="shared" si="3"/>
        <v>1</v>
      </c>
      <c r="E32" s="39">
        <v>1</v>
      </c>
      <c r="F32" s="40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7" ht="14.4" outlineLevel="1" x14ac:dyDescent="0.3">
      <c r="A33" s="52" t="s">
        <v>60</v>
      </c>
      <c r="B33" s="36" t="s">
        <v>61</v>
      </c>
      <c r="C33" s="37" t="s">
        <v>20</v>
      </c>
      <c r="D33" s="45">
        <f t="shared" si="3"/>
        <v>1</v>
      </c>
      <c r="E33" s="39">
        <v>1</v>
      </c>
      <c r="F33" s="40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7" ht="14.4" outlineLevel="1" x14ac:dyDescent="0.3">
      <c r="A34" s="52" t="s">
        <v>62</v>
      </c>
      <c r="B34" s="36" t="s">
        <v>63</v>
      </c>
      <c r="C34" s="49" t="s">
        <v>20</v>
      </c>
      <c r="D34" s="45">
        <f t="shared" si="3"/>
        <v>1</v>
      </c>
      <c r="E34" s="46">
        <v>1</v>
      </c>
      <c r="F34" s="50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51"/>
      <c r="V34" s="51"/>
      <c r="W34" s="51"/>
      <c r="X34" s="51"/>
      <c r="Y34" s="51"/>
      <c r="Z34" s="51"/>
      <c r="AA34" s="51"/>
    </row>
    <row r="35" spans="1:27" ht="14.4" x14ac:dyDescent="0.3">
      <c r="A35" s="29">
        <v>5</v>
      </c>
      <c r="B35" s="30" t="s">
        <v>64</v>
      </c>
      <c r="C35" s="31"/>
      <c r="D35" s="32"/>
      <c r="E35" s="33"/>
      <c r="F35" s="34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7" ht="14.4" outlineLevel="1" x14ac:dyDescent="0.3">
      <c r="A36" s="43" t="s">
        <v>65</v>
      </c>
      <c r="B36" s="44" t="s">
        <v>66</v>
      </c>
      <c r="C36" s="41" t="s">
        <v>20</v>
      </c>
      <c r="D36" s="45">
        <f t="shared" ref="D36:D40" si="4">E36</f>
        <v>1</v>
      </c>
      <c r="E36" s="46">
        <v>1</v>
      </c>
      <c r="F36" s="47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7" ht="14.4" outlineLevel="1" x14ac:dyDescent="0.3">
      <c r="A37" s="43" t="s">
        <v>67</v>
      </c>
      <c r="B37" s="44" t="s">
        <v>68</v>
      </c>
      <c r="C37" s="41" t="s">
        <v>20</v>
      </c>
      <c r="D37" s="45">
        <f t="shared" si="4"/>
        <v>1</v>
      </c>
      <c r="E37" s="46">
        <v>1</v>
      </c>
      <c r="F37" s="47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7" ht="14.4" outlineLevel="1" x14ac:dyDescent="0.3">
      <c r="A38" s="43" t="s">
        <v>69</v>
      </c>
      <c r="B38" s="44" t="s">
        <v>70</v>
      </c>
      <c r="C38" s="41" t="s">
        <v>20</v>
      </c>
      <c r="D38" s="45">
        <f t="shared" si="4"/>
        <v>1</v>
      </c>
      <c r="E38" s="46">
        <v>1</v>
      </c>
      <c r="F38" s="47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7" ht="14.4" outlineLevel="1" x14ac:dyDescent="0.3">
      <c r="A39" s="43" t="s">
        <v>71</v>
      </c>
      <c r="B39" s="44" t="s">
        <v>72</v>
      </c>
      <c r="C39" s="41" t="s">
        <v>23</v>
      </c>
      <c r="D39" s="45">
        <f t="shared" si="4"/>
        <v>1</v>
      </c>
      <c r="E39" s="46">
        <v>1</v>
      </c>
      <c r="F39" s="47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7" ht="14.4" outlineLevel="1" x14ac:dyDescent="0.3">
      <c r="A40" s="43" t="s">
        <v>73</v>
      </c>
      <c r="B40" s="44" t="s">
        <v>74</v>
      </c>
      <c r="C40" s="41" t="s">
        <v>20</v>
      </c>
      <c r="D40" s="45">
        <f t="shared" si="4"/>
        <v>1</v>
      </c>
      <c r="E40" s="46">
        <v>1</v>
      </c>
      <c r="F40" s="47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7" ht="14.4" x14ac:dyDescent="0.3">
      <c r="A41" s="29">
        <v>6</v>
      </c>
      <c r="B41" s="30" t="s">
        <v>75</v>
      </c>
      <c r="C41" s="31"/>
      <c r="D41" s="32"/>
      <c r="E41" s="33"/>
      <c r="F41" s="34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7" ht="14.4" outlineLevel="1" x14ac:dyDescent="0.3">
      <c r="A42" s="43" t="s">
        <v>76</v>
      </c>
      <c r="B42" s="44" t="s">
        <v>77</v>
      </c>
      <c r="C42" s="41" t="s">
        <v>20</v>
      </c>
      <c r="D42" s="45">
        <f t="shared" ref="D42:D44" si="5">E42</f>
        <v>1</v>
      </c>
      <c r="E42" s="46">
        <v>1</v>
      </c>
      <c r="F42" s="47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7" ht="14.4" outlineLevel="1" x14ac:dyDescent="0.3">
      <c r="A43" s="43" t="s">
        <v>78</v>
      </c>
      <c r="B43" s="44" t="s">
        <v>79</v>
      </c>
      <c r="C43" s="41" t="s">
        <v>20</v>
      </c>
      <c r="D43" s="45">
        <f t="shared" si="5"/>
        <v>1</v>
      </c>
      <c r="E43" s="46">
        <v>1</v>
      </c>
      <c r="F43" s="47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7" ht="14.4" outlineLevel="1" x14ac:dyDescent="0.3">
      <c r="A44" s="43" t="s">
        <v>80</v>
      </c>
      <c r="B44" s="44" t="s">
        <v>81</v>
      </c>
      <c r="C44" s="41" t="s">
        <v>20</v>
      </c>
      <c r="D44" s="45">
        <f t="shared" si="5"/>
        <v>1</v>
      </c>
      <c r="E44" s="46">
        <v>1</v>
      </c>
      <c r="F44" s="47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7" ht="14.4" x14ac:dyDescent="0.3">
      <c r="A45" s="29">
        <v>7</v>
      </c>
      <c r="B45" s="30" t="s">
        <v>82</v>
      </c>
      <c r="C45" s="31"/>
      <c r="D45" s="32"/>
      <c r="E45" s="33"/>
      <c r="F45" s="34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7" ht="14.4" outlineLevel="1" x14ac:dyDescent="0.3">
      <c r="A46" s="43" t="s">
        <v>83</v>
      </c>
      <c r="B46" s="44" t="s">
        <v>84</v>
      </c>
      <c r="C46" s="41" t="s">
        <v>20</v>
      </c>
      <c r="D46" s="45">
        <f t="shared" ref="D46:D53" si="6">E46</f>
        <v>1</v>
      </c>
      <c r="E46" s="46">
        <v>1</v>
      </c>
      <c r="F46" s="47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7" ht="14.4" outlineLevel="1" x14ac:dyDescent="0.3">
      <c r="A47" s="43" t="s">
        <v>85</v>
      </c>
      <c r="B47" s="44" t="s">
        <v>86</v>
      </c>
      <c r="C47" s="41" t="s">
        <v>20</v>
      </c>
      <c r="D47" s="45">
        <f t="shared" si="6"/>
        <v>1</v>
      </c>
      <c r="E47" s="46">
        <v>1</v>
      </c>
      <c r="F47" s="47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7" ht="14.4" outlineLevel="1" x14ac:dyDescent="0.3">
      <c r="A48" s="43" t="s">
        <v>87</v>
      </c>
      <c r="B48" s="44" t="s">
        <v>88</v>
      </c>
      <c r="C48" s="41" t="s">
        <v>20</v>
      </c>
      <c r="D48" s="45">
        <f t="shared" si="6"/>
        <v>1</v>
      </c>
      <c r="E48" s="46">
        <v>1</v>
      </c>
      <c r="F48" s="47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7" ht="14.4" outlineLevel="1" x14ac:dyDescent="0.3">
      <c r="A49" s="43" t="s">
        <v>89</v>
      </c>
      <c r="B49" s="44" t="s">
        <v>90</v>
      </c>
      <c r="C49" s="41" t="s">
        <v>20</v>
      </c>
      <c r="D49" s="45">
        <f t="shared" si="6"/>
        <v>1</v>
      </c>
      <c r="E49" s="46">
        <v>1</v>
      </c>
      <c r="F49" s="47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7" ht="14.4" outlineLevel="1" x14ac:dyDescent="0.3">
      <c r="A50" s="43" t="s">
        <v>91</v>
      </c>
      <c r="B50" s="53" t="s">
        <v>92</v>
      </c>
      <c r="C50" s="41" t="s">
        <v>20</v>
      </c>
      <c r="D50" s="45">
        <f t="shared" si="6"/>
        <v>1</v>
      </c>
      <c r="E50" s="46">
        <v>1</v>
      </c>
      <c r="F50" s="50" t="s">
        <v>93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51"/>
      <c r="V50" s="51"/>
      <c r="W50" s="51"/>
      <c r="X50" s="51"/>
      <c r="Y50" s="51"/>
      <c r="Z50" s="51"/>
      <c r="AA50" s="51"/>
    </row>
    <row r="51" spans="1:27" ht="14.4" outlineLevel="1" x14ac:dyDescent="0.3">
      <c r="A51" s="43" t="s">
        <v>94</v>
      </c>
      <c r="B51" s="48"/>
      <c r="C51" s="41" t="s">
        <v>20</v>
      </c>
      <c r="D51" s="45">
        <f t="shared" si="6"/>
        <v>1</v>
      </c>
      <c r="E51" s="46">
        <v>1</v>
      </c>
      <c r="F51" s="50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51"/>
      <c r="V51" s="51"/>
      <c r="W51" s="51"/>
      <c r="X51" s="51"/>
      <c r="Y51" s="51"/>
      <c r="Z51" s="51"/>
      <c r="AA51" s="51"/>
    </row>
    <row r="52" spans="1:27" ht="14.4" outlineLevel="1" x14ac:dyDescent="0.3">
      <c r="A52" s="43" t="s">
        <v>95</v>
      </c>
      <c r="B52" s="48"/>
      <c r="C52" s="41" t="s">
        <v>20</v>
      </c>
      <c r="D52" s="45">
        <f t="shared" si="6"/>
        <v>1</v>
      </c>
      <c r="E52" s="46">
        <v>1</v>
      </c>
      <c r="F52" s="50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51"/>
      <c r="V52" s="51"/>
      <c r="W52" s="51"/>
      <c r="X52" s="51"/>
      <c r="Y52" s="51"/>
      <c r="Z52" s="51"/>
      <c r="AA52" s="51"/>
    </row>
    <row r="53" spans="1:27" ht="14.4" outlineLevel="1" x14ac:dyDescent="0.3">
      <c r="A53" s="43" t="s">
        <v>96</v>
      </c>
      <c r="B53" s="48"/>
      <c r="C53" s="41" t="s">
        <v>20</v>
      </c>
      <c r="D53" s="45">
        <f t="shared" si="6"/>
        <v>1</v>
      </c>
      <c r="E53" s="46">
        <v>1</v>
      </c>
      <c r="F53" s="50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51"/>
      <c r="V53" s="51"/>
      <c r="W53" s="51"/>
      <c r="X53" s="51"/>
      <c r="Y53" s="51"/>
      <c r="Z53" s="51"/>
      <c r="AA53" s="51"/>
    </row>
    <row r="54" spans="1:27" ht="14.4" x14ac:dyDescent="0.3">
      <c r="A54" s="29">
        <v>8</v>
      </c>
      <c r="B54" s="30" t="s">
        <v>97</v>
      </c>
      <c r="C54" s="31"/>
      <c r="D54" s="32"/>
      <c r="E54" s="33"/>
      <c r="F54" s="3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7" ht="14.4" outlineLevel="1" x14ac:dyDescent="0.3">
      <c r="A55" s="43" t="s">
        <v>98</v>
      </c>
      <c r="B55" s="36" t="s">
        <v>99</v>
      </c>
      <c r="C55" s="37" t="s">
        <v>29</v>
      </c>
      <c r="D55" s="45">
        <f t="shared" ref="D55:D58" si="7">E55</f>
        <v>1</v>
      </c>
      <c r="E55" s="39">
        <v>1</v>
      </c>
      <c r="F55" s="40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7" ht="14.4" outlineLevel="1" x14ac:dyDescent="0.3">
      <c r="A56" s="43" t="s">
        <v>100</v>
      </c>
      <c r="B56" s="36" t="s">
        <v>101</v>
      </c>
      <c r="C56" s="37" t="s">
        <v>102</v>
      </c>
      <c r="D56" s="45">
        <f t="shared" si="7"/>
        <v>1</v>
      </c>
      <c r="E56" s="39">
        <v>1</v>
      </c>
      <c r="F56" s="40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7" ht="14.4" outlineLevel="1" x14ac:dyDescent="0.3">
      <c r="A57" s="43" t="s">
        <v>103</v>
      </c>
      <c r="B57" s="36" t="s">
        <v>104</v>
      </c>
      <c r="C57" s="37" t="s">
        <v>105</v>
      </c>
      <c r="D57" s="45">
        <f t="shared" si="7"/>
        <v>1</v>
      </c>
      <c r="E57" s="39">
        <v>1</v>
      </c>
      <c r="F57" s="40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7" ht="14.4" outlineLevel="1" x14ac:dyDescent="0.3">
      <c r="A58" s="43" t="s">
        <v>106</v>
      </c>
      <c r="B58" s="36" t="s">
        <v>107</v>
      </c>
      <c r="C58" s="37" t="s">
        <v>105</v>
      </c>
      <c r="D58" s="45">
        <f t="shared" si="7"/>
        <v>1</v>
      </c>
      <c r="E58" s="39">
        <v>1</v>
      </c>
      <c r="F58" s="40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7" ht="14.4" x14ac:dyDescent="0.3">
      <c r="A59" s="29">
        <v>9</v>
      </c>
      <c r="B59" s="30" t="s">
        <v>108</v>
      </c>
      <c r="C59" s="31"/>
      <c r="D59" s="32"/>
      <c r="E59" s="33"/>
      <c r="F59" s="34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7" ht="14.4" outlineLevel="1" x14ac:dyDescent="0.3">
      <c r="A60" s="43" t="s">
        <v>109</v>
      </c>
      <c r="B60" s="44" t="s">
        <v>110</v>
      </c>
      <c r="C60" s="41" t="s">
        <v>20</v>
      </c>
      <c r="D60" s="45">
        <f t="shared" ref="D60:D65" si="8">E60</f>
        <v>1</v>
      </c>
      <c r="E60" s="46">
        <v>1</v>
      </c>
      <c r="F60" s="47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7" ht="14.4" outlineLevel="1" x14ac:dyDescent="0.3">
      <c r="A61" s="43" t="s">
        <v>111</v>
      </c>
      <c r="B61" s="44" t="s">
        <v>112</v>
      </c>
      <c r="C61" s="41" t="s">
        <v>20</v>
      </c>
      <c r="D61" s="45">
        <f t="shared" si="8"/>
        <v>1</v>
      </c>
      <c r="E61" s="46">
        <v>1</v>
      </c>
      <c r="F61" s="47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7" ht="14.4" outlineLevel="1" x14ac:dyDescent="0.3">
      <c r="A62" s="43" t="s">
        <v>113</v>
      </c>
      <c r="B62" s="44" t="s">
        <v>114</v>
      </c>
      <c r="C62" s="41" t="s">
        <v>20</v>
      </c>
      <c r="D62" s="45">
        <f t="shared" si="8"/>
        <v>1</v>
      </c>
      <c r="E62" s="46">
        <v>1</v>
      </c>
      <c r="F62" s="47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7" ht="14.4" outlineLevel="1" x14ac:dyDescent="0.3">
      <c r="A63" s="43" t="s">
        <v>115</v>
      </c>
      <c r="B63" s="44" t="s">
        <v>116</v>
      </c>
      <c r="C63" s="41" t="s">
        <v>20</v>
      </c>
      <c r="D63" s="45">
        <f t="shared" si="8"/>
        <v>1</v>
      </c>
      <c r="E63" s="46">
        <v>1</v>
      </c>
      <c r="F63" s="47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7" ht="14.4" outlineLevel="1" x14ac:dyDescent="0.3">
      <c r="A64" s="43" t="s">
        <v>117</v>
      </c>
      <c r="B64" s="44" t="s">
        <v>116</v>
      </c>
      <c r="C64" s="41" t="s">
        <v>20</v>
      </c>
      <c r="D64" s="45">
        <f t="shared" si="8"/>
        <v>1</v>
      </c>
      <c r="E64" s="46">
        <v>1</v>
      </c>
      <c r="F64" s="47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4.4" outlineLevel="1" x14ac:dyDescent="0.3">
      <c r="A65" s="43" t="s">
        <v>118</v>
      </c>
      <c r="B65" s="44" t="s">
        <v>116</v>
      </c>
      <c r="C65" s="41" t="s">
        <v>20</v>
      </c>
      <c r="D65" s="45">
        <f t="shared" si="8"/>
        <v>1</v>
      </c>
      <c r="E65" s="46">
        <v>1</v>
      </c>
      <c r="F65" s="47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4.4" x14ac:dyDescent="0.3">
      <c r="A66" s="29">
        <v>10</v>
      </c>
      <c r="B66" s="30" t="s">
        <v>119</v>
      </c>
      <c r="C66" s="31"/>
      <c r="D66" s="32"/>
      <c r="E66" s="33"/>
      <c r="F66" s="34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4.4" outlineLevel="1" x14ac:dyDescent="0.3">
      <c r="A67" s="43" t="s">
        <v>120</v>
      </c>
      <c r="B67" s="44" t="s">
        <v>121</v>
      </c>
      <c r="C67" s="49" t="s">
        <v>23</v>
      </c>
      <c r="D67" s="45">
        <f t="shared" ref="D67:D70" si="9">E67</f>
        <v>1</v>
      </c>
      <c r="E67" s="46">
        <v>1</v>
      </c>
      <c r="F67" s="47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4.4" outlineLevel="1" x14ac:dyDescent="0.3">
      <c r="A68" s="43" t="s">
        <v>122</v>
      </c>
      <c r="B68" s="44" t="s">
        <v>123</v>
      </c>
      <c r="C68" s="49" t="s">
        <v>23</v>
      </c>
      <c r="D68" s="45">
        <f t="shared" si="9"/>
        <v>1</v>
      </c>
      <c r="E68" s="46">
        <v>1</v>
      </c>
      <c r="F68" s="47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4.4" outlineLevel="1" x14ac:dyDescent="0.3">
      <c r="A69" s="43" t="s">
        <v>124</v>
      </c>
      <c r="B69" s="44" t="s">
        <v>125</v>
      </c>
      <c r="C69" s="49" t="s">
        <v>23</v>
      </c>
      <c r="D69" s="45">
        <f t="shared" si="9"/>
        <v>1</v>
      </c>
      <c r="E69" s="46">
        <v>1</v>
      </c>
      <c r="F69" s="47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4.4" outlineLevel="1" x14ac:dyDescent="0.3">
      <c r="A70" s="43" t="s">
        <v>126</v>
      </c>
      <c r="B70" s="44" t="s">
        <v>123</v>
      </c>
      <c r="C70" s="49" t="s">
        <v>23</v>
      </c>
      <c r="D70" s="45">
        <f t="shared" si="9"/>
        <v>1</v>
      </c>
      <c r="E70" s="46">
        <v>1</v>
      </c>
      <c r="F70" s="47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4.4" x14ac:dyDescent="0.3">
      <c r="A71" s="29">
        <v>11</v>
      </c>
      <c r="B71" s="30" t="s">
        <v>127</v>
      </c>
      <c r="C71" s="31"/>
      <c r="D71" s="32"/>
      <c r="E71" s="33"/>
      <c r="F71" s="34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4.4" outlineLevel="1" x14ac:dyDescent="0.3">
      <c r="A72" s="43" t="s">
        <v>128</v>
      </c>
      <c r="B72" s="44" t="s">
        <v>129</v>
      </c>
      <c r="C72" s="37" t="s">
        <v>29</v>
      </c>
      <c r="D72" s="45">
        <f t="shared" ref="D72:D74" si="10">E72</f>
        <v>1</v>
      </c>
      <c r="E72" s="46">
        <v>1</v>
      </c>
      <c r="F72" s="47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4.4" outlineLevel="1" x14ac:dyDescent="0.3">
      <c r="A73" s="43" t="s">
        <v>130</v>
      </c>
      <c r="B73" s="44" t="s">
        <v>131</v>
      </c>
      <c r="C73" s="37" t="s">
        <v>29</v>
      </c>
      <c r="D73" s="45">
        <f t="shared" si="10"/>
        <v>1</v>
      </c>
      <c r="E73" s="46">
        <v>1</v>
      </c>
      <c r="F73" s="47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4.4" outlineLevel="1" x14ac:dyDescent="0.3">
      <c r="A74" s="43" t="s">
        <v>132</v>
      </c>
      <c r="B74" s="44" t="s">
        <v>133</v>
      </c>
      <c r="C74" s="37" t="s">
        <v>29</v>
      </c>
      <c r="D74" s="45">
        <f t="shared" si="10"/>
        <v>1</v>
      </c>
      <c r="E74" s="46">
        <v>1</v>
      </c>
      <c r="F74" s="47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4.4" x14ac:dyDescent="0.3">
      <c r="A75" s="29">
        <v>12</v>
      </c>
      <c r="B75" s="30" t="s">
        <v>134</v>
      </c>
      <c r="C75" s="31"/>
      <c r="D75" s="32"/>
      <c r="E75" s="33"/>
      <c r="F75" s="3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4.4" outlineLevel="1" x14ac:dyDescent="0.3">
      <c r="A76" s="43" t="s">
        <v>135</v>
      </c>
      <c r="B76" s="44" t="s">
        <v>136</v>
      </c>
      <c r="C76" s="37" t="s">
        <v>29</v>
      </c>
      <c r="D76" s="45">
        <f t="shared" ref="D76:D81" si="11">E76</f>
        <v>1</v>
      </c>
      <c r="E76" s="46">
        <v>1</v>
      </c>
      <c r="F76" s="47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4.4" outlineLevel="1" x14ac:dyDescent="0.3">
      <c r="A77" s="43" t="s">
        <v>137</v>
      </c>
      <c r="B77" s="44" t="s">
        <v>138</v>
      </c>
      <c r="C77" s="37" t="s">
        <v>29</v>
      </c>
      <c r="D77" s="45">
        <f t="shared" si="11"/>
        <v>1</v>
      </c>
      <c r="E77" s="46">
        <v>1</v>
      </c>
      <c r="F77" s="4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4.4" outlineLevel="1" x14ac:dyDescent="0.3">
      <c r="A78" s="43" t="s">
        <v>139</v>
      </c>
      <c r="B78" s="44" t="s">
        <v>140</v>
      </c>
      <c r="C78" s="37" t="s">
        <v>29</v>
      </c>
      <c r="D78" s="45">
        <f t="shared" si="11"/>
        <v>1</v>
      </c>
      <c r="E78" s="46">
        <v>1</v>
      </c>
      <c r="F78" s="47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4.4" outlineLevel="1" x14ac:dyDescent="0.3">
      <c r="A79" s="43" t="s">
        <v>141</v>
      </c>
      <c r="B79" s="44" t="s">
        <v>142</v>
      </c>
      <c r="C79" s="37" t="s">
        <v>29</v>
      </c>
      <c r="D79" s="45">
        <f t="shared" si="11"/>
        <v>1</v>
      </c>
      <c r="E79" s="46">
        <v>1</v>
      </c>
      <c r="F79" s="47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4.4" outlineLevel="1" x14ac:dyDescent="0.3">
      <c r="A80" s="43" t="s">
        <v>143</v>
      </c>
      <c r="B80" s="44" t="s">
        <v>144</v>
      </c>
      <c r="C80" s="37" t="s">
        <v>29</v>
      </c>
      <c r="D80" s="45">
        <f t="shared" si="11"/>
        <v>1</v>
      </c>
      <c r="E80" s="46">
        <v>1</v>
      </c>
      <c r="F80" s="47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4.4" outlineLevel="1" x14ac:dyDescent="0.3">
      <c r="A81" s="43" t="s">
        <v>145</v>
      </c>
      <c r="B81" s="44" t="s">
        <v>146</v>
      </c>
      <c r="C81" s="37" t="s">
        <v>29</v>
      </c>
      <c r="D81" s="45">
        <f t="shared" si="11"/>
        <v>1</v>
      </c>
      <c r="E81" s="46">
        <v>1</v>
      </c>
      <c r="F81" s="47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4.4" x14ac:dyDescent="0.3">
      <c r="A82" s="29">
        <v>13</v>
      </c>
      <c r="B82" s="30" t="s">
        <v>147</v>
      </c>
      <c r="C82" s="31"/>
      <c r="D82" s="32"/>
      <c r="E82" s="33"/>
      <c r="F82" s="3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4.4" outlineLevel="1" x14ac:dyDescent="0.3">
      <c r="A83" s="43" t="s">
        <v>148</v>
      </c>
      <c r="B83" s="44" t="s">
        <v>149</v>
      </c>
      <c r="C83" s="41" t="s">
        <v>20</v>
      </c>
      <c r="D83" s="45">
        <f t="shared" ref="D83:D88" si="12">E83</f>
        <v>1</v>
      </c>
      <c r="E83" s="46">
        <v>1</v>
      </c>
      <c r="F83" s="47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4.4" outlineLevel="1" x14ac:dyDescent="0.3">
      <c r="A84" s="43" t="s">
        <v>150</v>
      </c>
      <c r="B84" s="44" t="s">
        <v>151</v>
      </c>
      <c r="C84" s="41" t="s">
        <v>20</v>
      </c>
      <c r="D84" s="45">
        <f t="shared" si="12"/>
        <v>1</v>
      </c>
      <c r="E84" s="46">
        <v>1</v>
      </c>
      <c r="F84" s="47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4.4" outlineLevel="1" x14ac:dyDescent="0.3">
      <c r="A85" s="43" t="s">
        <v>152</v>
      </c>
      <c r="B85" s="44" t="s">
        <v>153</v>
      </c>
      <c r="C85" s="41" t="s">
        <v>20</v>
      </c>
      <c r="D85" s="45">
        <f t="shared" si="12"/>
        <v>1</v>
      </c>
      <c r="E85" s="46">
        <v>1</v>
      </c>
      <c r="F85" s="47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4.4" outlineLevel="1" x14ac:dyDescent="0.3">
      <c r="A86" s="43" t="s">
        <v>154</v>
      </c>
      <c r="B86" s="44" t="s">
        <v>155</v>
      </c>
      <c r="C86" s="41" t="s">
        <v>20</v>
      </c>
      <c r="D86" s="45">
        <f t="shared" si="12"/>
        <v>1</v>
      </c>
      <c r="E86" s="46">
        <v>1</v>
      </c>
      <c r="F86" s="47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4.4" outlineLevel="1" x14ac:dyDescent="0.3">
      <c r="A87" s="43" t="s">
        <v>156</v>
      </c>
      <c r="B87" s="44" t="s">
        <v>157</v>
      </c>
      <c r="C87" s="41" t="s">
        <v>20</v>
      </c>
      <c r="D87" s="45">
        <f t="shared" si="12"/>
        <v>1</v>
      </c>
      <c r="E87" s="46">
        <v>1</v>
      </c>
      <c r="F87" s="47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4.4" outlineLevel="1" x14ac:dyDescent="0.3">
      <c r="A88" s="43" t="s">
        <v>158</v>
      </c>
      <c r="B88" s="44" t="s">
        <v>159</v>
      </c>
      <c r="C88" s="41" t="s">
        <v>20</v>
      </c>
      <c r="D88" s="45">
        <f t="shared" si="12"/>
        <v>1</v>
      </c>
      <c r="E88" s="46">
        <v>1</v>
      </c>
      <c r="F88" s="47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4.4" x14ac:dyDescent="0.3">
      <c r="A89" s="29">
        <v>14</v>
      </c>
      <c r="B89" s="30" t="s">
        <v>160</v>
      </c>
      <c r="C89" s="31"/>
      <c r="D89" s="32"/>
      <c r="E89" s="33"/>
      <c r="F89" s="3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4.4" outlineLevel="1" x14ac:dyDescent="0.3">
      <c r="A90" s="43" t="s">
        <v>161</v>
      </c>
      <c r="B90" s="44" t="s">
        <v>162</v>
      </c>
      <c r="C90" s="41" t="s">
        <v>163</v>
      </c>
      <c r="D90" s="45">
        <f t="shared" ref="D90:D95" si="13">E90</f>
        <v>1</v>
      </c>
      <c r="E90" s="46">
        <v>1</v>
      </c>
      <c r="F90" s="47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4.4" outlineLevel="1" x14ac:dyDescent="0.3">
      <c r="A91" s="43" t="s">
        <v>164</v>
      </c>
      <c r="B91" s="44" t="s">
        <v>165</v>
      </c>
      <c r="C91" s="41" t="s">
        <v>163</v>
      </c>
      <c r="D91" s="45">
        <f t="shared" si="13"/>
        <v>1</v>
      </c>
      <c r="E91" s="46">
        <v>1</v>
      </c>
      <c r="F91" s="47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4.4" outlineLevel="1" x14ac:dyDescent="0.3">
      <c r="A92" s="43" t="s">
        <v>166</v>
      </c>
      <c r="B92" s="44" t="s">
        <v>167</v>
      </c>
      <c r="C92" s="41" t="s">
        <v>29</v>
      </c>
      <c r="D92" s="45">
        <f t="shared" si="13"/>
        <v>1</v>
      </c>
      <c r="E92" s="46">
        <v>1</v>
      </c>
      <c r="F92" s="47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4.4" outlineLevel="1" x14ac:dyDescent="0.3">
      <c r="A93" s="43" t="s">
        <v>168</v>
      </c>
      <c r="B93" s="44" t="s">
        <v>169</v>
      </c>
      <c r="C93" s="41" t="s">
        <v>29</v>
      </c>
      <c r="D93" s="45">
        <f t="shared" si="13"/>
        <v>1</v>
      </c>
      <c r="E93" s="46">
        <v>1</v>
      </c>
      <c r="F93" s="47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4.4" outlineLevel="1" x14ac:dyDescent="0.3">
      <c r="A94" s="43" t="s">
        <v>170</v>
      </c>
      <c r="B94" s="44" t="s">
        <v>171</v>
      </c>
      <c r="C94" s="41" t="s">
        <v>29</v>
      </c>
      <c r="D94" s="45">
        <f t="shared" si="13"/>
        <v>1</v>
      </c>
      <c r="E94" s="46">
        <v>1</v>
      </c>
      <c r="F94" s="47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4.4" outlineLevel="1" x14ac:dyDescent="0.3">
      <c r="A95" s="43" t="s">
        <v>172</v>
      </c>
      <c r="B95" s="44" t="s">
        <v>173</v>
      </c>
      <c r="C95" s="41" t="s">
        <v>8</v>
      </c>
      <c r="D95" s="45">
        <f t="shared" si="13"/>
        <v>1</v>
      </c>
      <c r="E95" s="46">
        <v>1</v>
      </c>
      <c r="F95" s="47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4.4" x14ac:dyDescent="0.3">
      <c r="A96" s="29">
        <v>15</v>
      </c>
      <c r="B96" s="30" t="s">
        <v>174</v>
      </c>
      <c r="C96" s="31"/>
      <c r="D96" s="32"/>
      <c r="E96" s="33"/>
      <c r="F96" s="34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4.4" outlineLevel="1" x14ac:dyDescent="0.3">
      <c r="A97" s="43" t="s">
        <v>175</v>
      </c>
      <c r="B97" s="36" t="s">
        <v>176</v>
      </c>
      <c r="C97" s="37" t="s">
        <v>23</v>
      </c>
      <c r="D97" s="45">
        <f t="shared" ref="D97:D98" si="14">E97</f>
        <v>1</v>
      </c>
      <c r="E97" s="39">
        <v>1</v>
      </c>
      <c r="F97" s="40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4.4" outlineLevel="1" x14ac:dyDescent="0.3">
      <c r="A98" s="43" t="s">
        <v>177</v>
      </c>
      <c r="B98" s="36" t="s">
        <v>178</v>
      </c>
      <c r="C98" s="37" t="s">
        <v>20</v>
      </c>
      <c r="D98" s="45">
        <f t="shared" si="14"/>
        <v>1</v>
      </c>
      <c r="E98" s="39">
        <v>1</v>
      </c>
      <c r="F98" s="40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3.2" x14ac:dyDescent="0.25">
      <c r="A99" s="1"/>
      <c r="B99" s="1"/>
      <c r="C99" s="2"/>
      <c r="D99" s="1"/>
      <c r="E99" s="3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3.2" x14ac:dyDescent="0.25">
      <c r="A100" s="1"/>
      <c r="B100" s="1"/>
      <c r="C100" s="2"/>
      <c r="D100" s="1"/>
      <c r="E100" s="3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3.2" x14ac:dyDescent="0.25">
      <c r="A101" s="1"/>
      <c r="B101" s="1"/>
      <c r="C101" s="2"/>
      <c r="D101" s="259"/>
      <c r="E101" s="259"/>
      <c r="F101" s="259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3.2" x14ac:dyDescent="0.25">
      <c r="A102" s="1"/>
      <c r="B102" s="1"/>
      <c r="C102" s="2"/>
      <c r="D102" s="54"/>
      <c r="E102" s="3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3.2" x14ac:dyDescent="0.25">
      <c r="A103" s="1"/>
      <c r="B103" s="1"/>
      <c r="C103" s="2"/>
      <c r="D103" s="54"/>
      <c r="E103" s="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3.2" x14ac:dyDescent="0.25">
      <c r="A104" s="1"/>
      <c r="B104" s="1"/>
      <c r="C104" s="2"/>
      <c r="D104" s="54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3.2" x14ac:dyDescent="0.25">
      <c r="A105" s="1"/>
      <c r="B105" s="1"/>
      <c r="C105" s="2"/>
      <c r="D105" s="1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3.2" x14ac:dyDescent="0.25">
      <c r="A106" s="1"/>
      <c r="B106" s="1"/>
      <c r="C106" s="2"/>
      <c r="D106" s="1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3.2" x14ac:dyDescent="0.25">
      <c r="A107" s="1"/>
      <c r="B107" s="1"/>
      <c r="C107" s="2"/>
      <c r="D107" s="1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3.2" x14ac:dyDescent="0.25">
      <c r="A108" s="1"/>
      <c r="B108" s="1"/>
      <c r="C108" s="2"/>
      <c r="D108" s="1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3.2" x14ac:dyDescent="0.25">
      <c r="A109" s="1"/>
      <c r="B109" s="1"/>
      <c r="C109" s="2"/>
      <c r="D109" s="1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3.2" x14ac:dyDescent="0.25">
      <c r="A110" s="1"/>
      <c r="B110" s="1"/>
      <c r="C110" s="2"/>
      <c r="D110" s="1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3.2" x14ac:dyDescent="0.25">
      <c r="A111" s="1"/>
      <c r="B111" s="1"/>
      <c r="C111" s="2"/>
      <c r="D111" s="1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3.2" x14ac:dyDescent="0.25">
      <c r="A112" s="1"/>
      <c r="B112" s="1"/>
      <c r="C112" s="2"/>
      <c r="D112" s="1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3.2" x14ac:dyDescent="0.25">
      <c r="A113" s="1"/>
      <c r="B113" s="1"/>
      <c r="C113" s="2"/>
      <c r="D113" s="1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3.2" x14ac:dyDescent="0.25">
      <c r="A114" s="1"/>
      <c r="B114" s="1"/>
      <c r="C114" s="2"/>
      <c r="D114" s="1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3.2" x14ac:dyDescent="0.25">
      <c r="A115" s="1"/>
      <c r="B115" s="1"/>
      <c r="C115" s="2"/>
      <c r="D115" s="1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3.2" x14ac:dyDescent="0.25">
      <c r="A116" s="1"/>
      <c r="B116" s="1"/>
      <c r="C116" s="2"/>
      <c r="D116" s="1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3.2" x14ac:dyDescent="0.25">
      <c r="A117" s="1"/>
      <c r="B117" s="1"/>
      <c r="C117" s="2"/>
      <c r="D117" s="1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3.2" x14ac:dyDescent="0.25">
      <c r="A118" s="1"/>
      <c r="B118" s="1"/>
      <c r="C118" s="2"/>
      <c r="D118" s="1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3.2" x14ac:dyDescent="0.25">
      <c r="A119" s="1"/>
      <c r="B119" s="1"/>
      <c r="C119" s="2"/>
      <c r="D119" s="1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3.2" x14ac:dyDescent="0.25">
      <c r="A120" s="1"/>
      <c r="B120" s="1"/>
      <c r="C120" s="2"/>
      <c r="D120" s="1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3.2" x14ac:dyDescent="0.25">
      <c r="A121" s="1"/>
      <c r="B121" s="1"/>
      <c r="C121" s="2"/>
      <c r="D121" s="1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3.2" x14ac:dyDescent="0.25">
      <c r="A122" s="1"/>
      <c r="B122" s="1"/>
      <c r="C122" s="2"/>
      <c r="D122" s="1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3.2" x14ac:dyDescent="0.25">
      <c r="A123" s="1"/>
      <c r="B123" s="1"/>
      <c r="C123" s="2"/>
      <c r="D123" s="1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3.2" x14ac:dyDescent="0.25">
      <c r="A124" s="1"/>
      <c r="B124" s="1"/>
      <c r="C124" s="2"/>
      <c r="D124" s="1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3.2" x14ac:dyDescent="0.25">
      <c r="A125" s="1"/>
      <c r="B125" s="1"/>
      <c r="C125" s="2"/>
      <c r="D125" s="1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3.2" x14ac:dyDescent="0.25">
      <c r="A126" s="1"/>
      <c r="B126" s="1"/>
      <c r="C126" s="2"/>
      <c r="D126" s="1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3.2" x14ac:dyDescent="0.25">
      <c r="A127" s="1"/>
      <c r="B127" s="1"/>
      <c r="C127" s="2"/>
      <c r="D127" s="1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3.2" x14ac:dyDescent="0.25">
      <c r="A128" s="1"/>
      <c r="B128" s="1"/>
      <c r="C128" s="2"/>
      <c r="D128" s="1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3.2" x14ac:dyDescent="0.25">
      <c r="A129" s="1"/>
      <c r="B129" s="1"/>
      <c r="C129" s="2"/>
      <c r="D129" s="1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3.2" x14ac:dyDescent="0.25">
      <c r="A130" s="1"/>
      <c r="B130" s="1"/>
      <c r="C130" s="2"/>
      <c r="D130" s="1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3.2" x14ac:dyDescent="0.25">
      <c r="A131" s="1"/>
      <c r="B131" s="1"/>
      <c r="C131" s="2"/>
      <c r="D131" s="1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3.2" x14ac:dyDescent="0.25">
      <c r="A132" s="1"/>
      <c r="B132" s="1"/>
      <c r="C132" s="2"/>
      <c r="D132" s="1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3.2" x14ac:dyDescent="0.25">
      <c r="A133" s="1"/>
      <c r="B133" s="1"/>
      <c r="C133" s="2"/>
      <c r="D133" s="1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3.2" x14ac:dyDescent="0.25">
      <c r="A134" s="1"/>
      <c r="B134" s="1"/>
      <c r="C134" s="2"/>
      <c r="D134" s="1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3.2" x14ac:dyDescent="0.25">
      <c r="A135" s="1"/>
      <c r="B135" s="1"/>
      <c r="C135" s="2"/>
      <c r="D135" s="1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3.2" x14ac:dyDescent="0.25">
      <c r="A136" s="1"/>
      <c r="B136" s="1"/>
      <c r="C136" s="2"/>
      <c r="D136" s="1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3.2" x14ac:dyDescent="0.25">
      <c r="A137" s="1"/>
      <c r="B137" s="1"/>
      <c r="C137" s="2"/>
      <c r="D137" s="1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3.2" x14ac:dyDescent="0.25">
      <c r="A138" s="1"/>
      <c r="B138" s="1"/>
      <c r="C138" s="2"/>
      <c r="D138" s="1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3.2" x14ac:dyDescent="0.25">
      <c r="A139" s="1"/>
      <c r="B139" s="1"/>
      <c r="C139" s="2"/>
      <c r="D139" s="1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3.2" x14ac:dyDescent="0.25">
      <c r="A140" s="1"/>
      <c r="B140" s="1"/>
      <c r="C140" s="2"/>
      <c r="D140" s="1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3.2" x14ac:dyDescent="0.25">
      <c r="A141" s="1"/>
      <c r="B141" s="1"/>
      <c r="C141" s="2"/>
      <c r="D141" s="1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3.2" x14ac:dyDescent="0.25">
      <c r="A142" s="1"/>
      <c r="B142" s="1"/>
      <c r="C142" s="2"/>
      <c r="D142" s="1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3.2" x14ac:dyDescent="0.25">
      <c r="A143" s="1"/>
      <c r="B143" s="1"/>
      <c r="C143" s="2"/>
      <c r="D143" s="1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3.2" x14ac:dyDescent="0.25">
      <c r="A144" s="1"/>
      <c r="B144" s="1"/>
      <c r="C144" s="2"/>
      <c r="D144" s="1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3.2" x14ac:dyDescent="0.25">
      <c r="A145" s="1"/>
      <c r="B145" s="1"/>
      <c r="C145" s="2"/>
      <c r="D145" s="1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3.2" x14ac:dyDescent="0.25">
      <c r="A146" s="1"/>
      <c r="B146" s="1"/>
      <c r="C146" s="2"/>
      <c r="D146" s="1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3.2" x14ac:dyDescent="0.25">
      <c r="A147" s="1"/>
      <c r="B147" s="1"/>
      <c r="C147" s="2"/>
      <c r="D147" s="1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3.2" x14ac:dyDescent="0.25">
      <c r="A148" s="1"/>
      <c r="B148" s="1"/>
      <c r="C148" s="2"/>
      <c r="D148" s="1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3.2" x14ac:dyDescent="0.25">
      <c r="A149" s="1"/>
      <c r="B149" s="1"/>
      <c r="C149" s="2"/>
      <c r="D149" s="1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3.2" x14ac:dyDescent="0.25">
      <c r="A150" s="1"/>
      <c r="B150" s="1"/>
      <c r="C150" s="2"/>
      <c r="D150" s="1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3.2" x14ac:dyDescent="0.25">
      <c r="A151" s="1"/>
      <c r="B151" s="1"/>
      <c r="C151" s="2"/>
      <c r="D151" s="1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3.2" x14ac:dyDescent="0.25">
      <c r="A152" s="1"/>
      <c r="B152" s="1"/>
      <c r="C152" s="2"/>
      <c r="D152" s="1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3.2" x14ac:dyDescent="0.25">
      <c r="A153" s="1"/>
      <c r="B153" s="1"/>
      <c r="C153" s="2"/>
      <c r="D153" s="1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3.2" x14ac:dyDescent="0.25">
      <c r="A154" s="1"/>
      <c r="B154" s="1"/>
      <c r="C154" s="2"/>
      <c r="D154" s="1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3.2" x14ac:dyDescent="0.25">
      <c r="A155" s="1"/>
      <c r="B155" s="1"/>
      <c r="C155" s="2"/>
      <c r="D155" s="1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3.2" x14ac:dyDescent="0.25">
      <c r="A156" s="1"/>
      <c r="B156" s="1"/>
      <c r="C156" s="2"/>
      <c r="D156" s="1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3.2" x14ac:dyDescent="0.25">
      <c r="A157" s="1"/>
      <c r="B157" s="1"/>
      <c r="C157" s="2"/>
      <c r="D157" s="1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3.2" x14ac:dyDescent="0.25">
      <c r="A158" s="1"/>
      <c r="B158" s="1"/>
      <c r="C158" s="2"/>
      <c r="D158" s="1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3.2" x14ac:dyDescent="0.25">
      <c r="A159" s="1"/>
      <c r="B159" s="1"/>
      <c r="C159" s="2"/>
      <c r="D159" s="1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3.2" x14ac:dyDescent="0.25">
      <c r="A160" s="1"/>
      <c r="B160" s="1"/>
      <c r="C160" s="2"/>
      <c r="D160" s="1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3.2" x14ac:dyDescent="0.25">
      <c r="A161" s="1"/>
      <c r="B161" s="1"/>
      <c r="C161" s="2"/>
      <c r="D161" s="1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3.2" x14ac:dyDescent="0.25">
      <c r="A162" s="1"/>
      <c r="B162" s="1"/>
      <c r="C162" s="2"/>
      <c r="D162" s="1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3.2" x14ac:dyDescent="0.25">
      <c r="A163" s="1"/>
      <c r="B163" s="1"/>
      <c r="C163" s="2"/>
      <c r="D163" s="1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3.2" x14ac:dyDescent="0.25">
      <c r="A164" s="1"/>
      <c r="B164" s="1"/>
      <c r="C164" s="2"/>
      <c r="D164" s="1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3.2" x14ac:dyDescent="0.25">
      <c r="A165" s="1"/>
      <c r="B165" s="1"/>
      <c r="C165" s="2"/>
      <c r="D165" s="1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3.2" x14ac:dyDescent="0.25">
      <c r="A166" s="1"/>
      <c r="B166" s="1"/>
      <c r="C166" s="2"/>
      <c r="D166" s="1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3.2" x14ac:dyDescent="0.25">
      <c r="A167" s="1"/>
      <c r="B167" s="1"/>
      <c r="C167" s="2"/>
      <c r="D167" s="1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3.2" x14ac:dyDescent="0.25">
      <c r="A168" s="1"/>
      <c r="B168" s="1"/>
      <c r="C168" s="2"/>
      <c r="D168" s="1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3.2" x14ac:dyDescent="0.25">
      <c r="A169" s="1"/>
      <c r="B169" s="1"/>
      <c r="C169" s="2"/>
      <c r="D169" s="1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3.2" x14ac:dyDescent="0.25">
      <c r="A170" s="1"/>
      <c r="B170" s="1"/>
      <c r="C170" s="2"/>
      <c r="D170" s="1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3.2" x14ac:dyDescent="0.25">
      <c r="A171" s="1"/>
      <c r="B171" s="1"/>
      <c r="C171" s="2"/>
      <c r="D171" s="1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3.2" x14ac:dyDescent="0.25">
      <c r="A172" s="1"/>
      <c r="B172" s="1"/>
      <c r="C172" s="2"/>
      <c r="D172" s="1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3.2" x14ac:dyDescent="0.25">
      <c r="A173" s="1"/>
      <c r="B173" s="1"/>
      <c r="C173" s="2"/>
      <c r="D173" s="1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3.2" x14ac:dyDescent="0.25">
      <c r="A174" s="1"/>
      <c r="B174" s="1"/>
      <c r="C174" s="2"/>
      <c r="D174" s="1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3.2" x14ac:dyDescent="0.25">
      <c r="A175" s="1"/>
      <c r="B175" s="1"/>
      <c r="C175" s="2"/>
      <c r="D175" s="1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3.2" x14ac:dyDescent="0.25">
      <c r="A176" s="1"/>
      <c r="B176" s="1"/>
      <c r="C176" s="2"/>
      <c r="D176" s="1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3.2" x14ac:dyDescent="0.25">
      <c r="A177" s="1"/>
      <c r="B177" s="1"/>
      <c r="C177" s="2"/>
      <c r="D177" s="1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3.2" x14ac:dyDescent="0.25">
      <c r="A178" s="1"/>
      <c r="B178" s="1"/>
      <c r="C178" s="2"/>
      <c r="D178" s="1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3.2" x14ac:dyDescent="0.25">
      <c r="A179" s="1"/>
      <c r="B179" s="1"/>
      <c r="C179" s="2"/>
      <c r="D179" s="1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3.2" x14ac:dyDescent="0.25">
      <c r="A180" s="1"/>
      <c r="B180" s="1"/>
      <c r="C180" s="2"/>
      <c r="D180" s="1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3.2" x14ac:dyDescent="0.25">
      <c r="A181" s="1"/>
      <c r="B181" s="1"/>
      <c r="C181" s="2"/>
      <c r="D181" s="1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3.2" x14ac:dyDescent="0.25">
      <c r="A182" s="1"/>
      <c r="B182" s="1"/>
      <c r="C182" s="2"/>
      <c r="D182" s="1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3.2" x14ac:dyDescent="0.25">
      <c r="A183" s="1"/>
      <c r="B183" s="1"/>
      <c r="C183" s="2"/>
      <c r="D183" s="1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3.2" x14ac:dyDescent="0.25">
      <c r="A184" s="1"/>
      <c r="B184" s="1"/>
      <c r="C184" s="2"/>
      <c r="D184" s="1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3.2" x14ac:dyDescent="0.25">
      <c r="A185" s="1"/>
      <c r="B185" s="1"/>
      <c r="C185" s="2"/>
      <c r="D185" s="1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3.2" x14ac:dyDescent="0.25">
      <c r="A186" s="1"/>
      <c r="B186" s="1"/>
      <c r="C186" s="2"/>
      <c r="D186" s="1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3.2" x14ac:dyDescent="0.25">
      <c r="A187" s="1"/>
      <c r="B187" s="1"/>
      <c r="C187" s="2"/>
      <c r="D187" s="1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3.2" x14ac:dyDescent="0.25">
      <c r="A188" s="1"/>
      <c r="B188" s="1"/>
      <c r="C188" s="2"/>
      <c r="D188" s="1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3.2" x14ac:dyDescent="0.25">
      <c r="A189" s="1"/>
      <c r="B189" s="1"/>
      <c r="C189" s="2"/>
      <c r="D189" s="1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3.2" x14ac:dyDescent="0.25">
      <c r="A190" s="1"/>
      <c r="B190" s="1"/>
      <c r="C190" s="2"/>
      <c r="D190" s="1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3.2" x14ac:dyDescent="0.25">
      <c r="A191" s="1"/>
      <c r="B191" s="1"/>
      <c r="C191" s="2"/>
      <c r="D191" s="1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3.2" x14ac:dyDescent="0.25">
      <c r="A192" s="1"/>
      <c r="B192" s="1"/>
      <c r="C192" s="2"/>
      <c r="D192" s="1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3.2" x14ac:dyDescent="0.25">
      <c r="A193" s="1"/>
      <c r="B193" s="1"/>
      <c r="C193" s="2"/>
      <c r="D193" s="1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3.2" x14ac:dyDescent="0.25">
      <c r="A194" s="1"/>
      <c r="B194" s="1"/>
      <c r="C194" s="2"/>
      <c r="D194" s="1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3.2" x14ac:dyDescent="0.25">
      <c r="A195" s="1"/>
      <c r="B195" s="1"/>
      <c r="C195" s="2"/>
      <c r="D195" s="1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3.2" x14ac:dyDescent="0.25">
      <c r="A196" s="1"/>
      <c r="B196" s="1"/>
      <c r="C196" s="2"/>
      <c r="D196" s="1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3.2" x14ac:dyDescent="0.25">
      <c r="A197" s="1"/>
      <c r="B197" s="1"/>
      <c r="C197" s="2"/>
      <c r="D197" s="1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3.2" x14ac:dyDescent="0.25">
      <c r="A198" s="1"/>
      <c r="B198" s="1"/>
      <c r="C198" s="2"/>
      <c r="D198" s="1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3.2" x14ac:dyDescent="0.25">
      <c r="A199" s="1"/>
      <c r="B199" s="1"/>
      <c r="C199" s="2"/>
      <c r="D199" s="1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3.2" x14ac:dyDescent="0.25">
      <c r="A200" s="1"/>
      <c r="B200" s="1"/>
      <c r="C200" s="2"/>
      <c r="D200" s="1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3.2" x14ac:dyDescent="0.25">
      <c r="A201" s="1"/>
      <c r="B201" s="1"/>
      <c r="C201" s="2"/>
      <c r="D201" s="1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3.2" x14ac:dyDescent="0.25">
      <c r="A202" s="1"/>
      <c r="B202" s="1"/>
      <c r="C202" s="2"/>
      <c r="D202" s="1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3.2" x14ac:dyDescent="0.25">
      <c r="A203" s="1"/>
      <c r="B203" s="1"/>
      <c r="C203" s="2"/>
      <c r="D203" s="1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3.2" x14ac:dyDescent="0.25">
      <c r="A204" s="1"/>
      <c r="B204" s="1"/>
      <c r="C204" s="2"/>
      <c r="D204" s="1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3.2" x14ac:dyDescent="0.25">
      <c r="A205" s="1"/>
      <c r="B205" s="1"/>
      <c r="C205" s="2"/>
      <c r="D205" s="1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3.2" x14ac:dyDescent="0.25">
      <c r="A206" s="1"/>
      <c r="B206" s="1"/>
      <c r="C206" s="2"/>
      <c r="D206" s="1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3.2" x14ac:dyDescent="0.25">
      <c r="A207" s="1"/>
      <c r="B207" s="1"/>
      <c r="C207" s="2"/>
      <c r="D207" s="1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3.2" x14ac:dyDescent="0.25">
      <c r="A208" s="1"/>
      <c r="B208" s="1"/>
      <c r="C208" s="2"/>
      <c r="D208" s="1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3.2" x14ac:dyDescent="0.25">
      <c r="A209" s="1"/>
      <c r="B209" s="1"/>
      <c r="C209" s="2"/>
      <c r="D209" s="1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3.2" x14ac:dyDescent="0.25">
      <c r="A210" s="1"/>
      <c r="B210" s="1"/>
      <c r="C210" s="2"/>
      <c r="D210" s="1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3.2" x14ac:dyDescent="0.25">
      <c r="A211" s="1"/>
      <c r="B211" s="1"/>
      <c r="C211" s="2"/>
      <c r="D211" s="1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3.2" x14ac:dyDescent="0.25">
      <c r="A212" s="1"/>
      <c r="B212" s="1"/>
      <c r="C212" s="2"/>
      <c r="D212" s="1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3.2" x14ac:dyDescent="0.25">
      <c r="A213" s="1"/>
      <c r="B213" s="1"/>
      <c r="C213" s="2"/>
      <c r="D213" s="1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3.2" x14ac:dyDescent="0.25">
      <c r="A214" s="1"/>
      <c r="B214" s="1"/>
      <c r="C214" s="2"/>
      <c r="D214" s="1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3.2" x14ac:dyDescent="0.25">
      <c r="A215" s="1"/>
      <c r="B215" s="1"/>
      <c r="C215" s="2"/>
      <c r="D215" s="1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3.2" x14ac:dyDescent="0.25">
      <c r="A216" s="1"/>
      <c r="B216" s="1"/>
      <c r="C216" s="2"/>
      <c r="D216" s="1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3.2" x14ac:dyDescent="0.25">
      <c r="A217" s="1"/>
      <c r="B217" s="1"/>
      <c r="C217" s="2"/>
      <c r="D217" s="1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3.2" x14ac:dyDescent="0.25">
      <c r="A218" s="1"/>
      <c r="B218" s="1"/>
      <c r="C218" s="2"/>
      <c r="D218" s="1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3.2" x14ac:dyDescent="0.25">
      <c r="A219" s="1"/>
      <c r="B219" s="1"/>
      <c r="C219" s="2"/>
      <c r="D219" s="1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3.2" x14ac:dyDescent="0.25">
      <c r="A220" s="1"/>
      <c r="B220" s="1"/>
      <c r="C220" s="2"/>
      <c r="D220" s="1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3.2" x14ac:dyDescent="0.25">
      <c r="A221" s="1"/>
      <c r="B221" s="1"/>
      <c r="C221" s="2"/>
      <c r="D221" s="1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3.2" x14ac:dyDescent="0.25">
      <c r="A222" s="1"/>
      <c r="B222" s="1"/>
      <c r="C222" s="2"/>
      <c r="D222" s="1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3.2" x14ac:dyDescent="0.25">
      <c r="A223" s="1"/>
      <c r="B223" s="1"/>
      <c r="C223" s="2"/>
      <c r="D223" s="1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3.2" x14ac:dyDescent="0.25">
      <c r="A224" s="1"/>
      <c r="B224" s="1"/>
      <c r="C224" s="2"/>
      <c r="D224" s="1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3.2" x14ac:dyDescent="0.25">
      <c r="A225" s="1"/>
      <c r="B225" s="1"/>
      <c r="C225" s="2"/>
      <c r="D225" s="1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3.2" x14ac:dyDescent="0.25">
      <c r="A226" s="1"/>
      <c r="B226" s="1"/>
      <c r="C226" s="2"/>
      <c r="D226" s="1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3.2" x14ac:dyDescent="0.25">
      <c r="A227" s="1"/>
      <c r="B227" s="1"/>
      <c r="C227" s="2"/>
      <c r="D227" s="1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3.2" x14ac:dyDescent="0.25">
      <c r="A228" s="1"/>
      <c r="B228" s="1"/>
      <c r="C228" s="2"/>
      <c r="D228" s="1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3.2" x14ac:dyDescent="0.25">
      <c r="A229" s="1"/>
      <c r="B229" s="1"/>
      <c r="C229" s="2"/>
      <c r="D229" s="1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3.2" x14ac:dyDescent="0.25">
      <c r="A230" s="1"/>
      <c r="B230" s="1"/>
      <c r="C230" s="2"/>
      <c r="D230" s="1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3.2" x14ac:dyDescent="0.25">
      <c r="A231" s="1"/>
      <c r="B231" s="1"/>
      <c r="C231" s="2"/>
      <c r="D231" s="1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3.2" x14ac:dyDescent="0.25">
      <c r="A232" s="1"/>
      <c r="B232" s="1"/>
      <c r="C232" s="2"/>
      <c r="D232" s="1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3.2" x14ac:dyDescent="0.25">
      <c r="A233" s="1"/>
      <c r="B233" s="1"/>
      <c r="C233" s="2"/>
      <c r="D233" s="1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3.2" x14ac:dyDescent="0.25">
      <c r="A234" s="1"/>
      <c r="B234" s="1"/>
      <c r="C234" s="2"/>
      <c r="D234" s="1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3.2" x14ac:dyDescent="0.25">
      <c r="A235" s="1"/>
      <c r="B235" s="1"/>
      <c r="C235" s="2"/>
      <c r="D235" s="1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3.2" x14ac:dyDescent="0.25">
      <c r="A236" s="1"/>
      <c r="B236" s="1"/>
      <c r="C236" s="2"/>
      <c r="D236" s="1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3.2" x14ac:dyDescent="0.25">
      <c r="A237" s="1"/>
      <c r="B237" s="1"/>
      <c r="C237" s="2"/>
      <c r="D237" s="1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3.2" x14ac:dyDescent="0.25">
      <c r="A238" s="1"/>
      <c r="B238" s="1"/>
      <c r="C238" s="2"/>
      <c r="D238" s="1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3.2" x14ac:dyDescent="0.25">
      <c r="A239" s="1"/>
      <c r="B239" s="1"/>
      <c r="C239" s="2"/>
      <c r="D239" s="1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3.2" x14ac:dyDescent="0.25">
      <c r="A240" s="1"/>
      <c r="B240" s="1"/>
      <c r="C240" s="2"/>
      <c r="D240" s="1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3.2" x14ac:dyDescent="0.25">
      <c r="A241" s="1"/>
      <c r="B241" s="1"/>
      <c r="C241" s="2"/>
      <c r="D241" s="1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3.2" x14ac:dyDescent="0.25">
      <c r="A242" s="1"/>
      <c r="B242" s="1"/>
      <c r="C242" s="2"/>
      <c r="D242" s="1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3.2" x14ac:dyDescent="0.25">
      <c r="A243" s="1"/>
      <c r="B243" s="1"/>
      <c r="C243" s="2"/>
      <c r="D243" s="1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3.2" x14ac:dyDescent="0.25">
      <c r="A244" s="1"/>
      <c r="B244" s="1"/>
      <c r="C244" s="2"/>
      <c r="D244" s="1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3.2" x14ac:dyDescent="0.25">
      <c r="A245" s="1"/>
      <c r="B245" s="1"/>
      <c r="C245" s="2"/>
      <c r="D245" s="1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3.2" x14ac:dyDescent="0.25">
      <c r="A246" s="1"/>
      <c r="B246" s="1"/>
      <c r="C246" s="2"/>
      <c r="D246" s="1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3.2" x14ac:dyDescent="0.25">
      <c r="A247" s="1"/>
      <c r="B247" s="1"/>
      <c r="C247" s="2"/>
      <c r="D247" s="1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3.2" x14ac:dyDescent="0.25">
      <c r="A248" s="1"/>
      <c r="B248" s="1"/>
      <c r="C248" s="2"/>
      <c r="D248" s="1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3.2" x14ac:dyDescent="0.25">
      <c r="A249" s="1"/>
      <c r="B249" s="1"/>
      <c r="C249" s="2"/>
      <c r="D249" s="1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3.2" x14ac:dyDescent="0.25">
      <c r="A250" s="1"/>
      <c r="B250" s="1"/>
      <c r="C250" s="2"/>
      <c r="D250" s="1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3.2" x14ac:dyDescent="0.25">
      <c r="A251" s="1"/>
      <c r="B251" s="1"/>
      <c r="C251" s="2"/>
      <c r="D251" s="1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3.2" x14ac:dyDescent="0.25">
      <c r="A252" s="1"/>
      <c r="B252" s="1"/>
      <c r="C252" s="2"/>
      <c r="D252" s="1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3.2" x14ac:dyDescent="0.25">
      <c r="A253" s="1"/>
      <c r="B253" s="1"/>
      <c r="C253" s="2"/>
      <c r="D253" s="1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3.2" x14ac:dyDescent="0.25">
      <c r="A254" s="1"/>
      <c r="B254" s="1"/>
      <c r="C254" s="2"/>
      <c r="D254" s="1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3.2" x14ac:dyDescent="0.25">
      <c r="A255" s="1"/>
      <c r="B255" s="1"/>
      <c r="C255" s="2"/>
      <c r="D255" s="1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3.2" x14ac:dyDescent="0.25">
      <c r="A256" s="1"/>
      <c r="B256" s="1"/>
      <c r="C256" s="2"/>
      <c r="D256" s="1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3.2" x14ac:dyDescent="0.25">
      <c r="A257" s="1"/>
      <c r="B257" s="1"/>
      <c r="C257" s="2"/>
      <c r="D257" s="1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3.2" x14ac:dyDescent="0.25">
      <c r="A258" s="1"/>
      <c r="B258" s="1"/>
      <c r="C258" s="2"/>
      <c r="D258" s="1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3.2" x14ac:dyDescent="0.25">
      <c r="A259" s="1"/>
      <c r="B259" s="1"/>
      <c r="C259" s="2"/>
      <c r="D259" s="1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3.2" x14ac:dyDescent="0.25">
      <c r="A260" s="1"/>
      <c r="B260" s="1"/>
      <c r="C260" s="2"/>
      <c r="D260" s="1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3.2" x14ac:dyDescent="0.25">
      <c r="A261" s="1"/>
      <c r="B261" s="1"/>
      <c r="C261" s="2"/>
      <c r="D261" s="1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3.2" x14ac:dyDescent="0.25">
      <c r="A262" s="1"/>
      <c r="B262" s="1"/>
      <c r="C262" s="2"/>
      <c r="D262" s="1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3.2" x14ac:dyDescent="0.25">
      <c r="A263" s="1"/>
      <c r="B263" s="1"/>
      <c r="C263" s="2"/>
      <c r="D263" s="1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3.2" x14ac:dyDescent="0.25">
      <c r="A264" s="1"/>
      <c r="B264" s="1"/>
      <c r="C264" s="2"/>
      <c r="D264" s="1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3.2" x14ac:dyDescent="0.25">
      <c r="A265" s="1"/>
      <c r="B265" s="1"/>
      <c r="C265" s="2"/>
      <c r="D265" s="1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3.2" x14ac:dyDescent="0.25">
      <c r="A266" s="1"/>
      <c r="B266" s="1"/>
      <c r="C266" s="2"/>
      <c r="D266" s="1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3.2" x14ac:dyDescent="0.25">
      <c r="A267" s="1"/>
      <c r="B267" s="1"/>
      <c r="C267" s="2"/>
      <c r="D267" s="1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3.2" x14ac:dyDescent="0.25">
      <c r="A268" s="1"/>
      <c r="B268" s="1"/>
      <c r="C268" s="2"/>
      <c r="D268" s="1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3.2" x14ac:dyDescent="0.25">
      <c r="A269" s="1"/>
      <c r="B269" s="1"/>
      <c r="C269" s="2"/>
      <c r="D269" s="1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3.2" x14ac:dyDescent="0.25">
      <c r="A270" s="1"/>
      <c r="B270" s="1"/>
      <c r="C270" s="2"/>
      <c r="D270" s="1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3.2" x14ac:dyDescent="0.25">
      <c r="A271" s="1"/>
      <c r="B271" s="1"/>
      <c r="C271" s="2"/>
      <c r="D271" s="1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3.2" x14ac:dyDescent="0.25">
      <c r="A272" s="1"/>
      <c r="B272" s="1"/>
      <c r="C272" s="2"/>
      <c r="D272" s="1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3.2" x14ac:dyDescent="0.25">
      <c r="A273" s="1"/>
      <c r="B273" s="1"/>
      <c r="C273" s="2"/>
      <c r="D273" s="1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3.2" x14ac:dyDescent="0.25">
      <c r="A274" s="1"/>
      <c r="B274" s="1"/>
      <c r="C274" s="2"/>
      <c r="D274" s="1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3.2" x14ac:dyDescent="0.25">
      <c r="A275" s="1"/>
      <c r="B275" s="1"/>
      <c r="C275" s="2"/>
      <c r="D275" s="1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3.2" x14ac:dyDescent="0.25">
      <c r="A276" s="1"/>
      <c r="B276" s="1"/>
      <c r="C276" s="2"/>
      <c r="D276" s="1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3.2" x14ac:dyDescent="0.25">
      <c r="A277" s="1"/>
      <c r="B277" s="1"/>
      <c r="C277" s="2"/>
      <c r="D277" s="1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3.2" x14ac:dyDescent="0.25">
      <c r="A278" s="1"/>
      <c r="B278" s="1"/>
      <c r="C278" s="2"/>
      <c r="D278" s="1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3.2" x14ac:dyDescent="0.25">
      <c r="A279" s="1"/>
      <c r="B279" s="1"/>
      <c r="C279" s="2"/>
      <c r="D279" s="1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3.2" x14ac:dyDescent="0.25">
      <c r="A280" s="1"/>
      <c r="B280" s="1"/>
      <c r="C280" s="2"/>
      <c r="D280" s="1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3.2" x14ac:dyDescent="0.25">
      <c r="A281" s="1"/>
      <c r="B281" s="1"/>
      <c r="C281" s="2"/>
      <c r="D281" s="1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3.2" x14ac:dyDescent="0.25">
      <c r="A282" s="1"/>
      <c r="B282" s="1"/>
      <c r="C282" s="2"/>
      <c r="D282" s="1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3.2" x14ac:dyDescent="0.25">
      <c r="A283" s="1"/>
      <c r="B283" s="1"/>
      <c r="C283" s="2"/>
      <c r="D283" s="1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3.2" x14ac:dyDescent="0.25">
      <c r="A284" s="1"/>
      <c r="B284" s="1"/>
      <c r="C284" s="2"/>
      <c r="D284" s="1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3.2" x14ac:dyDescent="0.25">
      <c r="A285" s="1"/>
      <c r="B285" s="1"/>
      <c r="C285" s="2"/>
      <c r="D285" s="1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3.2" x14ac:dyDescent="0.25">
      <c r="A286" s="1"/>
      <c r="B286" s="1"/>
      <c r="C286" s="2"/>
      <c r="D286" s="1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3.2" x14ac:dyDescent="0.25">
      <c r="A287" s="1"/>
      <c r="B287" s="1"/>
      <c r="C287" s="2"/>
      <c r="D287" s="1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3.2" x14ac:dyDescent="0.25">
      <c r="A288" s="1"/>
      <c r="B288" s="1"/>
      <c r="C288" s="2"/>
      <c r="D288" s="1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3.2" x14ac:dyDescent="0.25">
      <c r="A289" s="1"/>
      <c r="B289" s="1"/>
      <c r="C289" s="2"/>
      <c r="D289" s="1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3.2" x14ac:dyDescent="0.25">
      <c r="A290" s="1"/>
      <c r="B290" s="1"/>
      <c r="C290" s="2"/>
      <c r="D290" s="1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3.2" x14ac:dyDescent="0.25">
      <c r="A291" s="1"/>
      <c r="B291" s="1"/>
      <c r="C291" s="2"/>
      <c r="D291" s="1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3.2" x14ac:dyDescent="0.25">
      <c r="A292" s="1"/>
      <c r="B292" s="1"/>
      <c r="C292" s="2"/>
      <c r="D292" s="1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3.2" x14ac:dyDescent="0.25">
      <c r="A293" s="1"/>
      <c r="B293" s="1"/>
      <c r="C293" s="2"/>
      <c r="D293" s="1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3.2" x14ac:dyDescent="0.25">
      <c r="A294" s="1"/>
      <c r="B294" s="1"/>
      <c r="C294" s="2"/>
      <c r="D294" s="1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3.2" x14ac:dyDescent="0.25">
      <c r="A295" s="1"/>
      <c r="B295" s="1"/>
      <c r="C295" s="2"/>
      <c r="D295" s="1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3.2" x14ac:dyDescent="0.25">
      <c r="A296" s="1"/>
      <c r="B296" s="1"/>
      <c r="C296" s="2"/>
      <c r="D296" s="1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3.2" x14ac:dyDescent="0.25">
      <c r="A297" s="1"/>
      <c r="B297" s="1"/>
      <c r="C297" s="2"/>
      <c r="D297" s="1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3.2" x14ac:dyDescent="0.25">
      <c r="A298" s="1"/>
      <c r="B298" s="1"/>
      <c r="C298" s="2"/>
      <c r="D298" s="1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3.2" x14ac:dyDescent="0.25">
      <c r="A299" s="1"/>
      <c r="B299" s="1"/>
      <c r="C299" s="2"/>
      <c r="D299" s="1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3.2" x14ac:dyDescent="0.25">
      <c r="A300" s="1"/>
      <c r="B300" s="1"/>
      <c r="C300" s="2"/>
      <c r="D300" s="1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3.2" x14ac:dyDescent="0.25">
      <c r="A301" s="1"/>
      <c r="B301" s="1"/>
      <c r="C301" s="2"/>
      <c r="D301" s="1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3.2" x14ac:dyDescent="0.25">
      <c r="A302" s="1"/>
      <c r="B302" s="1"/>
      <c r="C302" s="2"/>
      <c r="D302" s="1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3.2" x14ac:dyDescent="0.25">
      <c r="A303" s="1"/>
      <c r="B303" s="1"/>
      <c r="C303" s="2"/>
      <c r="D303" s="1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3.2" x14ac:dyDescent="0.25">
      <c r="A304" s="1"/>
      <c r="B304" s="1"/>
      <c r="C304" s="2"/>
      <c r="D304" s="1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3.2" x14ac:dyDescent="0.25">
      <c r="A305" s="1"/>
      <c r="B305" s="1"/>
      <c r="C305" s="2"/>
      <c r="D305" s="1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3.2" x14ac:dyDescent="0.25">
      <c r="A306" s="1"/>
      <c r="B306" s="1"/>
      <c r="C306" s="2"/>
      <c r="D306" s="1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3.2" x14ac:dyDescent="0.25">
      <c r="A307" s="1"/>
      <c r="B307" s="1"/>
      <c r="C307" s="2"/>
      <c r="D307" s="1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3.2" x14ac:dyDescent="0.25">
      <c r="A308" s="1"/>
      <c r="B308" s="1"/>
      <c r="C308" s="2"/>
      <c r="D308" s="1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3.2" x14ac:dyDescent="0.25">
      <c r="A309" s="1"/>
      <c r="B309" s="1"/>
      <c r="C309" s="2"/>
      <c r="D309" s="1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3.2" x14ac:dyDescent="0.25">
      <c r="A310" s="1"/>
      <c r="B310" s="1"/>
      <c r="C310" s="2"/>
      <c r="D310" s="1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3.2" x14ac:dyDescent="0.25">
      <c r="A311" s="1"/>
      <c r="B311" s="1"/>
      <c r="C311" s="2"/>
      <c r="D311" s="1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3.2" x14ac:dyDescent="0.25">
      <c r="A312" s="1"/>
      <c r="B312" s="1"/>
      <c r="C312" s="2"/>
      <c r="D312" s="1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3.2" x14ac:dyDescent="0.25">
      <c r="A313" s="1"/>
      <c r="B313" s="1"/>
      <c r="C313" s="2"/>
      <c r="D313" s="1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3.2" x14ac:dyDescent="0.25">
      <c r="A314" s="1"/>
      <c r="B314" s="1"/>
      <c r="C314" s="2"/>
      <c r="D314" s="1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3.2" x14ac:dyDescent="0.25">
      <c r="A315" s="1"/>
      <c r="B315" s="1"/>
      <c r="C315" s="2"/>
      <c r="D315" s="1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3.2" x14ac:dyDescent="0.25">
      <c r="A316" s="1"/>
      <c r="B316" s="1"/>
      <c r="C316" s="2"/>
      <c r="D316" s="1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3.2" x14ac:dyDescent="0.25">
      <c r="A317" s="1"/>
      <c r="B317" s="1"/>
      <c r="C317" s="2"/>
      <c r="D317" s="1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3.2" x14ac:dyDescent="0.25">
      <c r="A318" s="1"/>
      <c r="B318" s="1"/>
      <c r="C318" s="2"/>
      <c r="D318" s="1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3.2" x14ac:dyDescent="0.25">
      <c r="A319" s="1"/>
      <c r="B319" s="1"/>
      <c r="C319" s="2"/>
      <c r="D319" s="1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3.2" x14ac:dyDescent="0.25">
      <c r="A320" s="1"/>
      <c r="B320" s="1"/>
      <c r="C320" s="2"/>
      <c r="D320" s="1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3.2" x14ac:dyDescent="0.25">
      <c r="A321" s="1"/>
      <c r="B321" s="1"/>
      <c r="C321" s="2"/>
      <c r="D321" s="1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3.2" x14ac:dyDescent="0.25">
      <c r="A322" s="1"/>
      <c r="B322" s="1"/>
      <c r="C322" s="2"/>
      <c r="D322" s="1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3.2" x14ac:dyDescent="0.25">
      <c r="A323" s="1"/>
      <c r="B323" s="1"/>
      <c r="C323" s="2"/>
      <c r="D323" s="1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3.2" x14ac:dyDescent="0.25">
      <c r="A324" s="1"/>
      <c r="B324" s="1"/>
      <c r="C324" s="2"/>
      <c r="D324" s="1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3.2" x14ac:dyDescent="0.25">
      <c r="A325" s="1"/>
      <c r="B325" s="1"/>
      <c r="C325" s="2"/>
      <c r="D325" s="1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3.2" x14ac:dyDescent="0.25">
      <c r="A326" s="1"/>
      <c r="B326" s="1"/>
      <c r="C326" s="2"/>
      <c r="D326" s="1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3.2" x14ac:dyDescent="0.25">
      <c r="A327" s="1"/>
      <c r="B327" s="1"/>
      <c r="C327" s="2"/>
      <c r="D327" s="1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3.2" x14ac:dyDescent="0.25">
      <c r="A328" s="1"/>
      <c r="B328" s="1"/>
      <c r="C328" s="2"/>
      <c r="D328" s="1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3.2" x14ac:dyDescent="0.25">
      <c r="A329" s="1"/>
      <c r="B329" s="1"/>
      <c r="C329" s="2"/>
      <c r="D329" s="1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3.2" x14ac:dyDescent="0.25">
      <c r="A330" s="1"/>
      <c r="B330" s="1"/>
      <c r="C330" s="2"/>
      <c r="D330" s="1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3.2" x14ac:dyDescent="0.25">
      <c r="A331" s="1"/>
      <c r="B331" s="1"/>
      <c r="C331" s="2"/>
      <c r="D331" s="1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3.2" x14ac:dyDescent="0.25">
      <c r="A332" s="1"/>
      <c r="B332" s="1"/>
      <c r="C332" s="2"/>
      <c r="D332" s="1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3.2" x14ac:dyDescent="0.25">
      <c r="A333" s="1"/>
      <c r="B333" s="1"/>
      <c r="C333" s="2"/>
      <c r="D333" s="1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3.2" x14ac:dyDescent="0.25">
      <c r="A334" s="1"/>
      <c r="B334" s="1"/>
      <c r="C334" s="2"/>
      <c r="D334" s="1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3.2" x14ac:dyDescent="0.25">
      <c r="A335" s="1"/>
      <c r="B335" s="1"/>
      <c r="C335" s="2"/>
      <c r="D335" s="1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3.2" x14ac:dyDescent="0.25">
      <c r="A336" s="1"/>
      <c r="B336" s="1"/>
      <c r="C336" s="2"/>
      <c r="D336" s="1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3.2" x14ac:dyDescent="0.25">
      <c r="A337" s="1"/>
      <c r="B337" s="1"/>
      <c r="C337" s="2"/>
      <c r="D337" s="1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3.2" x14ac:dyDescent="0.25">
      <c r="A338" s="1"/>
      <c r="B338" s="1"/>
      <c r="C338" s="2"/>
      <c r="D338" s="1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3.2" x14ac:dyDescent="0.25">
      <c r="A339" s="1"/>
      <c r="B339" s="1"/>
      <c r="C339" s="2"/>
      <c r="D339" s="1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3.2" x14ac:dyDescent="0.25">
      <c r="A340" s="1"/>
      <c r="B340" s="1"/>
      <c r="C340" s="2"/>
      <c r="D340" s="1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3.2" x14ac:dyDescent="0.25">
      <c r="A341" s="1"/>
      <c r="B341" s="1"/>
      <c r="C341" s="2"/>
      <c r="D341" s="1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3.2" x14ac:dyDescent="0.25">
      <c r="A342" s="1"/>
      <c r="B342" s="1"/>
      <c r="C342" s="2"/>
      <c r="D342" s="1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3.2" x14ac:dyDescent="0.25">
      <c r="A343" s="1"/>
      <c r="B343" s="1"/>
      <c r="C343" s="2"/>
      <c r="D343" s="1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3.2" x14ac:dyDescent="0.25">
      <c r="A344" s="1"/>
      <c r="B344" s="1"/>
      <c r="C344" s="2"/>
      <c r="D344" s="1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3.2" x14ac:dyDescent="0.25">
      <c r="A345" s="1"/>
      <c r="B345" s="1"/>
      <c r="C345" s="2"/>
      <c r="D345" s="1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3.2" x14ac:dyDescent="0.25">
      <c r="A346" s="1"/>
      <c r="B346" s="1"/>
      <c r="C346" s="2"/>
      <c r="D346" s="1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3.2" x14ac:dyDescent="0.25">
      <c r="A347" s="1"/>
      <c r="B347" s="1"/>
      <c r="C347" s="2"/>
      <c r="D347" s="1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3.2" x14ac:dyDescent="0.25">
      <c r="A348" s="1"/>
      <c r="B348" s="1"/>
      <c r="C348" s="2"/>
      <c r="D348" s="1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3.2" x14ac:dyDescent="0.25">
      <c r="A349" s="1"/>
      <c r="B349" s="1"/>
      <c r="C349" s="2"/>
      <c r="D349" s="1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3.2" x14ac:dyDescent="0.25">
      <c r="A350" s="1"/>
      <c r="B350" s="1"/>
      <c r="C350" s="2"/>
      <c r="D350" s="1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3.2" x14ac:dyDescent="0.25">
      <c r="A351" s="1"/>
      <c r="B351" s="1"/>
      <c r="C351" s="2"/>
      <c r="D351" s="1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3.2" x14ac:dyDescent="0.25">
      <c r="A352" s="1"/>
      <c r="B352" s="1"/>
      <c r="C352" s="2"/>
      <c r="D352" s="1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3.2" x14ac:dyDescent="0.25">
      <c r="A353" s="1"/>
      <c r="B353" s="1"/>
      <c r="C353" s="2"/>
      <c r="D353" s="1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3.2" x14ac:dyDescent="0.25">
      <c r="A354" s="1"/>
      <c r="B354" s="1"/>
      <c r="C354" s="2"/>
      <c r="D354" s="1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3.2" x14ac:dyDescent="0.25">
      <c r="A355" s="1"/>
      <c r="B355" s="1"/>
      <c r="C355" s="2"/>
      <c r="D355" s="1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3.2" x14ac:dyDescent="0.25">
      <c r="A356" s="1"/>
      <c r="B356" s="1"/>
      <c r="C356" s="2"/>
      <c r="D356" s="1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3.2" x14ac:dyDescent="0.25">
      <c r="A357" s="1"/>
      <c r="B357" s="1"/>
      <c r="C357" s="2"/>
      <c r="D357" s="1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3.2" x14ac:dyDescent="0.25">
      <c r="A358" s="1"/>
      <c r="B358" s="1"/>
      <c r="C358" s="2"/>
      <c r="D358" s="1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3.2" x14ac:dyDescent="0.25">
      <c r="A359" s="1"/>
      <c r="B359" s="1"/>
      <c r="C359" s="2"/>
      <c r="D359" s="1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3.2" x14ac:dyDescent="0.25">
      <c r="A360" s="1"/>
      <c r="B360" s="1"/>
      <c r="C360" s="2"/>
      <c r="D360" s="1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3.2" x14ac:dyDescent="0.25">
      <c r="A361" s="1"/>
      <c r="B361" s="1"/>
      <c r="C361" s="2"/>
      <c r="D361" s="1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3.2" x14ac:dyDescent="0.25">
      <c r="A362" s="1"/>
      <c r="B362" s="1"/>
      <c r="C362" s="2"/>
      <c r="D362" s="1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3.2" x14ac:dyDescent="0.25">
      <c r="A363" s="1"/>
      <c r="B363" s="1"/>
      <c r="C363" s="2"/>
      <c r="D363" s="1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3.2" x14ac:dyDescent="0.25">
      <c r="A364" s="1"/>
      <c r="B364" s="1"/>
      <c r="C364" s="2"/>
      <c r="D364" s="1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3.2" x14ac:dyDescent="0.25">
      <c r="A365" s="1"/>
      <c r="B365" s="1"/>
      <c r="C365" s="2"/>
      <c r="D365" s="1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3.2" x14ac:dyDescent="0.25">
      <c r="A366" s="1"/>
      <c r="B366" s="1"/>
      <c r="C366" s="2"/>
      <c r="D366" s="1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3.2" x14ac:dyDescent="0.25">
      <c r="A367" s="1"/>
      <c r="B367" s="1"/>
      <c r="C367" s="2"/>
      <c r="D367" s="1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3.2" x14ac:dyDescent="0.25">
      <c r="A368" s="1"/>
      <c r="B368" s="1"/>
      <c r="C368" s="2"/>
      <c r="D368" s="1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3.2" x14ac:dyDescent="0.25">
      <c r="A369" s="1"/>
      <c r="B369" s="1"/>
      <c r="C369" s="2"/>
      <c r="D369" s="1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3.2" x14ac:dyDescent="0.25">
      <c r="A370" s="1"/>
      <c r="B370" s="1"/>
      <c r="C370" s="2"/>
      <c r="D370" s="1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3.2" x14ac:dyDescent="0.25">
      <c r="A371" s="1"/>
      <c r="B371" s="1"/>
      <c r="C371" s="2"/>
      <c r="D371" s="1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3.2" x14ac:dyDescent="0.25">
      <c r="A372" s="1"/>
      <c r="B372" s="1"/>
      <c r="C372" s="2"/>
      <c r="D372" s="1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3.2" x14ac:dyDescent="0.25">
      <c r="A373" s="1"/>
      <c r="B373" s="1"/>
      <c r="C373" s="2"/>
      <c r="D373" s="1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3.2" x14ac:dyDescent="0.25">
      <c r="A374" s="1"/>
      <c r="B374" s="1"/>
      <c r="C374" s="2"/>
      <c r="D374" s="1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3.2" x14ac:dyDescent="0.25">
      <c r="A375" s="1"/>
      <c r="B375" s="1"/>
      <c r="C375" s="2"/>
      <c r="D375" s="1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3.2" x14ac:dyDescent="0.25">
      <c r="A376" s="1"/>
      <c r="B376" s="1"/>
      <c r="C376" s="2"/>
      <c r="D376" s="1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3.2" x14ac:dyDescent="0.25">
      <c r="A377" s="1"/>
      <c r="B377" s="1"/>
      <c r="C377" s="2"/>
      <c r="D377" s="1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3.2" x14ac:dyDescent="0.25">
      <c r="A378" s="1"/>
      <c r="B378" s="1"/>
      <c r="C378" s="2"/>
      <c r="D378" s="1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3.2" x14ac:dyDescent="0.25">
      <c r="A379" s="1"/>
      <c r="B379" s="1"/>
      <c r="C379" s="2"/>
      <c r="D379" s="1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3.2" x14ac:dyDescent="0.25">
      <c r="A380" s="1"/>
      <c r="B380" s="1"/>
      <c r="C380" s="2"/>
      <c r="D380" s="1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3.2" x14ac:dyDescent="0.25">
      <c r="A381" s="1"/>
      <c r="B381" s="1"/>
      <c r="C381" s="2"/>
      <c r="D381" s="1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3.2" x14ac:dyDescent="0.25">
      <c r="A382" s="1"/>
      <c r="B382" s="1"/>
      <c r="C382" s="2"/>
      <c r="D382" s="1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3.2" x14ac:dyDescent="0.25">
      <c r="A383" s="1"/>
      <c r="B383" s="1"/>
      <c r="C383" s="2"/>
      <c r="D383" s="1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3.2" x14ac:dyDescent="0.25">
      <c r="A384" s="1"/>
      <c r="B384" s="1"/>
      <c r="C384" s="2"/>
      <c r="D384" s="1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3.2" x14ac:dyDescent="0.25">
      <c r="A385" s="1"/>
      <c r="B385" s="1"/>
      <c r="C385" s="2"/>
      <c r="D385" s="1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13.2" x14ac:dyDescent="0.25">
      <c r="A386" s="1"/>
      <c r="B386" s="1"/>
      <c r="C386" s="2"/>
      <c r="D386" s="1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13.2" x14ac:dyDescent="0.25">
      <c r="A387" s="1"/>
      <c r="B387" s="1"/>
      <c r="C387" s="2"/>
      <c r="D387" s="1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13.2" x14ac:dyDescent="0.25">
      <c r="A388" s="1"/>
      <c r="B388" s="1"/>
      <c r="C388" s="2"/>
      <c r="D388" s="1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13.2" x14ac:dyDescent="0.25">
      <c r="A389" s="1"/>
      <c r="B389" s="1"/>
      <c r="C389" s="2"/>
      <c r="D389" s="1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3.2" x14ac:dyDescent="0.25">
      <c r="A390" s="1"/>
      <c r="B390" s="1"/>
      <c r="C390" s="2"/>
      <c r="D390" s="1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3.2" x14ac:dyDescent="0.25">
      <c r="A391" s="1"/>
      <c r="B391" s="1"/>
      <c r="C391" s="2"/>
      <c r="D391" s="1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13.2" x14ac:dyDescent="0.25">
      <c r="A392" s="1"/>
      <c r="B392" s="1"/>
      <c r="C392" s="2"/>
      <c r="D392" s="1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13.2" x14ac:dyDescent="0.25">
      <c r="A393" s="1"/>
      <c r="B393" s="1"/>
      <c r="C393" s="2"/>
      <c r="D393" s="1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13.2" x14ac:dyDescent="0.25">
      <c r="A394" s="1"/>
      <c r="B394" s="1"/>
      <c r="C394" s="2"/>
      <c r="D394" s="1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13.2" x14ac:dyDescent="0.25">
      <c r="A395" s="1"/>
      <c r="B395" s="1"/>
      <c r="C395" s="2"/>
      <c r="D395" s="1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13.2" x14ac:dyDescent="0.25">
      <c r="A396" s="1"/>
      <c r="B396" s="1"/>
      <c r="C396" s="2"/>
      <c r="D396" s="1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3.2" x14ac:dyDescent="0.25">
      <c r="A397" s="1"/>
      <c r="B397" s="1"/>
      <c r="C397" s="2"/>
      <c r="D397" s="1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13.2" x14ac:dyDescent="0.25">
      <c r="A398" s="1"/>
      <c r="B398" s="1"/>
      <c r="C398" s="2"/>
      <c r="D398" s="1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13.2" x14ac:dyDescent="0.25">
      <c r="A399" s="1"/>
      <c r="B399" s="1"/>
      <c r="C399" s="2"/>
      <c r="D399" s="1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13.2" x14ac:dyDescent="0.25">
      <c r="A400" s="1"/>
      <c r="B400" s="1"/>
      <c r="C400" s="2"/>
      <c r="D400" s="1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3.2" x14ac:dyDescent="0.25">
      <c r="A401" s="1"/>
      <c r="B401" s="1"/>
      <c r="C401" s="2"/>
      <c r="D401" s="1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13.2" x14ac:dyDescent="0.25">
      <c r="A402" s="1"/>
      <c r="B402" s="1"/>
      <c r="C402" s="2"/>
      <c r="D402" s="1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13.2" x14ac:dyDescent="0.25">
      <c r="A403" s="1"/>
      <c r="B403" s="1"/>
      <c r="C403" s="2"/>
      <c r="D403" s="1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13.2" x14ac:dyDescent="0.25">
      <c r="A404" s="1"/>
      <c r="B404" s="1"/>
      <c r="C404" s="2"/>
      <c r="D404" s="1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3.2" x14ac:dyDescent="0.25">
      <c r="A405" s="1"/>
      <c r="B405" s="1"/>
      <c r="C405" s="2"/>
      <c r="D405" s="1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13.2" x14ac:dyDescent="0.25">
      <c r="A406" s="1"/>
      <c r="B406" s="1"/>
      <c r="C406" s="2"/>
      <c r="D406" s="1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13.2" x14ac:dyDescent="0.25">
      <c r="A407" s="1"/>
      <c r="B407" s="1"/>
      <c r="C407" s="2"/>
      <c r="D407" s="1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13.2" x14ac:dyDescent="0.25">
      <c r="A408" s="1"/>
      <c r="B408" s="1"/>
      <c r="C408" s="2"/>
      <c r="D408" s="1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13.2" x14ac:dyDescent="0.25">
      <c r="A409" s="1"/>
      <c r="B409" s="1"/>
      <c r="C409" s="2"/>
      <c r="D409" s="1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13.2" x14ac:dyDescent="0.25">
      <c r="A410" s="1"/>
      <c r="B410" s="1"/>
      <c r="C410" s="2"/>
      <c r="D410" s="1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3.2" x14ac:dyDescent="0.25">
      <c r="A411" s="1"/>
      <c r="B411" s="1"/>
      <c r="C411" s="2"/>
      <c r="D411" s="1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13.2" x14ac:dyDescent="0.25">
      <c r="A412" s="1"/>
      <c r="B412" s="1"/>
      <c r="C412" s="2"/>
      <c r="D412" s="1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13.2" x14ac:dyDescent="0.25">
      <c r="A413" s="1"/>
      <c r="B413" s="1"/>
      <c r="C413" s="2"/>
      <c r="D413" s="1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13.2" x14ac:dyDescent="0.25">
      <c r="A414" s="1"/>
      <c r="B414" s="1"/>
      <c r="C414" s="2"/>
      <c r="D414" s="1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3.2" x14ac:dyDescent="0.25">
      <c r="A415" s="1"/>
      <c r="B415" s="1"/>
      <c r="C415" s="2"/>
      <c r="D415" s="1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13.2" x14ac:dyDescent="0.25">
      <c r="A416" s="1"/>
      <c r="B416" s="1"/>
      <c r="C416" s="2"/>
      <c r="D416" s="1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13.2" x14ac:dyDescent="0.25">
      <c r="A417" s="1"/>
      <c r="B417" s="1"/>
      <c r="C417" s="2"/>
      <c r="D417" s="1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13.2" x14ac:dyDescent="0.25">
      <c r="A418" s="1"/>
      <c r="B418" s="1"/>
      <c r="C418" s="2"/>
      <c r="D418" s="1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3.2" x14ac:dyDescent="0.25">
      <c r="A419" s="1"/>
      <c r="B419" s="1"/>
      <c r="C419" s="2"/>
      <c r="D419" s="1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13.2" x14ac:dyDescent="0.25">
      <c r="A420" s="1"/>
      <c r="B420" s="1"/>
      <c r="C420" s="2"/>
      <c r="D420" s="1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13.2" x14ac:dyDescent="0.25">
      <c r="A421" s="1"/>
      <c r="B421" s="1"/>
      <c r="C421" s="2"/>
      <c r="D421" s="1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13.2" x14ac:dyDescent="0.25">
      <c r="A422" s="1"/>
      <c r="B422" s="1"/>
      <c r="C422" s="2"/>
      <c r="D422" s="1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13.2" x14ac:dyDescent="0.25">
      <c r="A423" s="1"/>
      <c r="B423" s="1"/>
      <c r="C423" s="2"/>
      <c r="D423" s="1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13.2" x14ac:dyDescent="0.25">
      <c r="A424" s="1"/>
      <c r="B424" s="1"/>
      <c r="C424" s="2"/>
      <c r="D424" s="1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13.2" x14ac:dyDescent="0.25">
      <c r="A425" s="1"/>
      <c r="B425" s="1"/>
      <c r="C425" s="2"/>
      <c r="D425" s="1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3.2" x14ac:dyDescent="0.25">
      <c r="A426" s="1"/>
      <c r="B426" s="1"/>
      <c r="C426" s="2"/>
      <c r="D426" s="1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13.2" x14ac:dyDescent="0.25">
      <c r="A427" s="1"/>
      <c r="B427" s="1"/>
      <c r="C427" s="2"/>
      <c r="D427" s="1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13.2" x14ac:dyDescent="0.25">
      <c r="A428" s="1"/>
      <c r="B428" s="1"/>
      <c r="C428" s="2"/>
      <c r="D428" s="1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13.2" x14ac:dyDescent="0.25">
      <c r="A429" s="1"/>
      <c r="B429" s="1"/>
      <c r="C429" s="2"/>
      <c r="D429" s="1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13.2" x14ac:dyDescent="0.25">
      <c r="A430" s="1"/>
      <c r="B430" s="1"/>
      <c r="C430" s="2"/>
      <c r="D430" s="1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13.2" x14ac:dyDescent="0.25">
      <c r="A431" s="1"/>
      <c r="B431" s="1"/>
      <c r="C431" s="2"/>
      <c r="D431" s="1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13.2" x14ac:dyDescent="0.25">
      <c r="A432" s="1"/>
      <c r="B432" s="1"/>
      <c r="C432" s="2"/>
      <c r="D432" s="1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13.2" x14ac:dyDescent="0.25">
      <c r="A433" s="1"/>
      <c r="B433" s="1"/>
      <c r="C433" s="2"/>
      <c r="D433" s="1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13.2" x14ac:dyDescent="0.25">
      <c r="A434" s="1"/>
      <c r="B434" s="1"/>
      <c r="C434" s="2"/>
      <c r="D434" s="1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13.2" x14ac:dyDescent="0.25">
      <c r="A435" s="1"/>
      <c r="B435" s="1"/>
      <c r="C435" s="2"/>
      <c r="D435" s="1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13.2" x14ac:dyDescent="0.25">
      <c r="A436" s="1"/>
      <c r="B436" s="1"/>
      <c r="C436" s="2"/>
      <c r="D436" s="1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13.2" x14ac:dyDescent="0.25">
      <c r="A437" s="1"/>
      <c r="B437" s="1"/>
      <c r="C437" s="2"/>
      <c r="D437" s="1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13.2" x14ac:dyDescent="0.25">
      <c r="A438" s="1"/>
      <c r="B438" s="1"/>
      <c r="C438" s="2"/>
      <c r="D438" s="1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3.2" x14ac:dyDescent="0.25">
      <c r="A439" s="1"/>
      <c r="B439" s="1"/>
      <c r="C439" s="2"/>
      <c r="D439" s="1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3.2" x14ac:dyDescent="0.25">
      <c r="A440" s="1"/>
      <c r="B440" s="1"/>
      <c r="C440" s="2"/>
      <c r="D440" s="1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13.2" x14ac:dyDescent="0.25">
      <c r="A441" s="1"/>
      <c r="B441" s="1"/>
      <c r="C441" s="2"/>
      <c r="D441" s="1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13.2" x14ac:dyDescent="0.25">
      <c r="A442" s="1"/>
      <c r="B442" s="1"/>
      <c r="C442" s="2"/>
      <c r="D442" s="1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13.2" x14ac:dyDescent="0.25">
      <c r="A443" s="1"/>
      <c r="B443" s="1"/>
      <c r="C443" s="2"/>
      <c r="D443" s="1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13.2" x14ac:dyDescent="0.25">
      <c r="A444" s="1"/>
      <c r="B444" s="1"/>
      <c r="C444" s="2"/>
      <c r="D444" s="1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13.2" x14ac:dyDescent="0.25">
      <c r="A445" s="1"/>
      <c r="B445" s="1"/>
      <c r="C445" s="2"/>
      <c r="D445" s="1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13.2" x14ac:dyDescent="0.25">
      <c r="A446" s="1"/>
      <c r="B446" s="1"/>
      <c r="C446" s="2"/>
      <c r="D446" s="1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13.2" x14ac:dyDescent="0.25">
      <c r="A447" s="1"/>
      <c r="B447" s="1"/>
      <c r="C447" s="2"/>
      <c r="D447" s="1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3.2" x14ac:dyDescent="0.25">
      <c r="A448" s="1"/>
      <c r="B448" s="1"/>
      <c r="C448" s="2"/>
      <c r="D448" s="1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3.2" x14ac:dyDescent="0.25">
      <c r="A449" s="1"/>
      <c r="B449" s="1"/>
      <c r="C449" s="2"/>
      <c r="D449" s="1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13.2" x14ac:dyDescent="0.25">
      <c r="A450" s="1"/>
      <c r="B450" s="1"/>
      <c r="C450" s="2"/>
      <c r="D450" s="1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13.2" x14ac:dyDescent="0.25">
      <c r="A451" s="1"/>
      <c r="B451" s="1"/>
      <c r="C451" s="2"/>
      <c r="D451" s="1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13.2" x14ac:dyDescent="0.25">
      <c r="A452" s="1"/>
      <c r="B452" s="1"/>
      <c r="C452" s="2"/>
      <c r="D452" s="1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13.2" x14ac:dyDescent="0.25">
      <c r="A453" s="1"/>
      <c r="B453" s="1"/>
      <c r="C453" s="2"/>
      <c r="D453" s="1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13.2" x14ac:dyDescent="0.25">
      <c r="A454" s="1"/>
      <c r="B454" s="1"/>
      <c r="C454" s="2"/>
      <c r="D454" s="1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13.2" x14ac:dyDescent="0.25">
      <c r="A455" s="1"/>
      <c r="B455" s="1"/>
      <c r="C455" s="2"/>
      <c r="D455" s="1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13.2" x14ac:dyDescent="0.25">
      <c r="A456" s="1"/>
      <c r="B456" s="1"/>
      <c r="C456" s="2"/>
      <c r="D456" s="1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13.2" x14ac:dyDescent="0.25">
      <c r="A457" s="1"/>
      <c r="B457" s="1"/>
      <c r="C457" s="2"/>
      <c r="D457" s="1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13.2" x14ac:dyDescent="0.25">
      <c r="A458" s="1"/>
      <c r="B458" s="1"/>
      <c r="C458" s="2"/>
      <c r="D458" s="1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13.2" x14ac:dyDescent="0.25">
      <c r="A459" s="1"/>
      <c r="B459" s="1"/>
      <c r="C459" s="2"/>
      <c r="D459" s="1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13.2" x14ac:dyDescent="0.25">
      <c r="A460" s="1"/>
      <c r="B460" s="1"/>
      <c r="C460" s="2"/>
      <c r="D460" s="1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13.2" x14ac:dyDescent="0.25">
      <c r="A461" s="1"/>
      <c r="B461" s="1"/>
      <c r="C461" s="2"/>
      <c r="D461" s="1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13.2" x14ac:dyDescent="0.25">
      <c r="A462" s="1"/>
      <c r="B462" s="1"/>
      <c r="C462" s="2"/>
      <c r="D462" s="1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13.2" x14ac:dyDescent="0.25">
      <c r="A463" s="1"/>
      <c r="B463" s="1"/>
      <c r="C463" s="2"/>
      <c r="D463" s="1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13.2" x14ac:dyDescent="0.25">
      <c r="A464" s="1"/>
      <c r="B464" s="1"/>
      <c r="C464" s="2"/>
      <c r="D464" s="1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13.2" x14ac:dyDescent="0.25">
      <c r="A465" s="1"/>
      <c r="B465" s="1"/>
      <c r="C465" s="2"/>
      <c r="D465" s="1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13.2" x14ac:dyDescent="0.25">
      <c r="A466" s="1"/>
      <c r="B466" s="1"/>
      <c r="C466" s="2"/>
      <c r="D466" s="1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13.2" x14ac:dyDescent="0.25">
      <c r="A467" s="1"/>
      <c r="B467" s="1"/>
      <c r="C467" s="2"/>
      <c r="D467" s="1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13.2" x14ac:dyDescent="0.25">
      <c r="A468" s="1"/>
      <c r="B468" s="1"/>
      <c r="C468" s="2"/>
      <c r="D468" s="1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13.2" x14ac:dyDescent="0.25">
      <c r="A469" s="1"/>
      <c r="B469" s="1"/>
      <c r="C469" s="2"/>
      <c r="D469" s="1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13.2" x14ac:dyDescent="0.25">
      <c r="A470" s="1"/>
      <c r="B470" s="1"/>
      <c r="C470" s="2"/>
      <c r="D470" s="1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13.2" x14ac:dyDescent="0.25">
      <c r="A471" s="1"/>
      <c r="B471" s="1"/>
      <c r="C471" s="2"/>
      <c r="D471" s="1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13.2" x14ac:dyDescent="0.25">
      <c r="A472" s="1"/>
      <c r="B472" s="1"/>
      <c r="C472" s="2"/>
      <c r="D472" s="1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13.2" x14ac:dyDescent="0.25">
      <c r="A473" s="1"/>
      <c r="B473" s="1"/>
      <c r="C473" s="2"/>
      <c r="D473" s="1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13.2" x14ac:dyDescent="0.25">
      <c r="A474" s="1"/>
      <c r="B474" s="1"/>
      <c r="C474" s="2"/>
      <c r="D474" s="1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13.2" x14ac:dyDescent="0.25">
      <c r="A475" s="1"/>
      <c r="B475" s="1"/>
      <c r="C475" s="2"/>
      <c r="D475" s="1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13.2" x14ac:dyDescent="0.25">
      <c r="A476" s="1"/>
      <c r="B476" s="1"/>
      <c r="C476" s="2"/>
      <c r="D476" s="1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13.2" x14ac:dyDescent="0.25">
      <c r="A477" s="1"/>
      <c r="B477" s="1"/>
      <c r="C477" s="2"/>
      <c r="D477" s="1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13.2" x14ac:dyDescent="0.25">
      <c r="A478" s="1"/>
      <c r="B478" s="1"/>
      <c r="C478" s="2"/>
      <c r="D478" s="1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13.2" x14ac:dyDescent="0.25">
      <c r="A479" s="1"/>
      <c r="B479" s="1"/>
      <c r="C479" s="2"/>
      <c r="D479" s="1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13.2" x14ac:dyDescent="0.25">
      <c r="A480" s="1"/>
      <c r="B480" s="1"/>
      <c r="C480" s="2"/>
      <c r="D480" s="1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13.2" x14ac:dyDescent="0.25">
      <c r="A481" s="1"/>
      <c r="B481" s="1"/>
      <c r="C481" s="2"/>
      <c r="D481" s="1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13.2" x14ac:dyDescent="0.25">
      <c r="A482" s="1"/>
      <c r="B482" s="1"/>
      <c r="C482" s="2"/>
      <c r="D482" s="1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13.2" x14ac:dyDescent="0.25">
      <c r="A483" s="1"/>
      <c r="B483" s="1"/>
      <c r="C483" s="2"/>
      <c r="D483" s="1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13.2" x14ac:dyDescent="0.25">
      <c r="A484" s="1"/>
      <c r="B484" s="1"/>
      <c r="C484" s="2"/>
      <c r="D484" s="1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13.2" x14ac:dyDescent="0.25">
      <c r="A485" s="1"/>
      <c r="B485" s="1"/>
      <c r="C485" s="2"/>
      <c r="D485" s="1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13.2" x14ac:dyDescent="0.25">
      <c r="A486" s="1"/>
      <c r="B486" s="1"/>
      <c r="C486" s="2"/>
      <c r="D486" s="1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13.2" x14ac:dyDescent="0.25">
      <c r="A487" s="1"/>
      <c r="B487" s="1"/>
      <c r="C487" s="2"/>
      <c r="D487" s="1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13.2" x14ac:dyDescent="0.25">
      <c r="A488" s="1"/>
      <c r="B488" s="1"/>
      <c r="C488" s="2"/>
      <c r="D488" s="1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13.2" x14ac:dyDescent="0.25">
      <c r="A489" s="1"/>
      <c r="B489" s="1"/>
      <c r="C489" s="2"/>
      <c r="D489" s="1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13.2" x14ac:dyDescent="0.25">
      <c r="A490" s="1"/>
      <c r="B490" s="1"/>
      <c r="C490" s="2"/>
      <c r="D490" s="1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13.2" x14ac:dyDescent="0.25">
      <c r="A491" s="1"/>
      <c r="B491" s="1"/>
      <c r="C491" s="2"/>
      <c r="D491" s="1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13.2" x14ac:dyDescent="0.25">
      <c r="A492" s="1"/>
      <c r="B492" s="1"/>
      <c r="C492" s="2"/>
      <c r="D492" s="1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13.2" x14ac:dyDescent="0.25">
      <c r="A493" s="1"/>
      <c r="B493" s="1"/>
      <c r="C493" s="2"/>
      <c r="D493" s="1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13.2" x14ac:dyDescent="0.25">
      <c r="A494" s="1"/>
      <c r="B494" s="1"/>
      <c r="C494" s="2"/>
      <c r="D494" s="1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13.2" x14ac:dyDescent="0.25">
      <c r="A495" s="1"/>
      <c r="B495" s="1"/>
      <c r="C495" s="2"/>
      <c r="D495" s="1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13.2" x14ac:dyDescent="0.25">
      <c r="A496" s="1"/>
      <c r="B496" s="1"/>
      <c r="C496" s="2"/>
      <c r="D496" s="1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13.2" x14ac:dyDescent="0.25">
      <c r="A497" s="1"/>
      <c r="B497" s="1"/>
      <c r="C497" s="2"/>
      <c r="D497" s="1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13.2" x14ac:dyDescent="0.25">
      <c r="A498" s="1"/>
      <c r="B498" s="1"/>
      <c r="C498" s="2"/>
      <c r="D498" s="1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13.2" x14ac:dyDescent="0.25">
      <c r="A499" s="1"/>
      <c r="B499" s="1"/>
      <c r="C499" s="2"/>
      <c r="D499" s="1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13.2" x14ac:dyDescent="0.25">
      <c r="A500" s="1"/>
      <c r="B500" s="1"/>
      <c r="C500" s="2"/>
      <c r="D500" s="1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13.2" x14ac:dyDescent="0.25">
      <c r="A501" s="1"/>
      <c r="B501" s="1"/>
      <c r="C501" s="2"/>
      <c r="D501" s="1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13.2" x14ac:dyDescent="0.25">
      <c r="A502" s="1"/>
      <c r="B502" s="1"/>
      <c r="C502" s="2"/>
      <c r="D502" s="1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13.2" x14ac:dyDescent="0.25">
      <c r="A503" s="1"/>
      <c r="B503" s="1"/>
      <c r="C503" s="2"/>
      <c r="D503" s="1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13.2" x14ac:dyDescent="0.25">
      <c r="A504" s="1"/>
      <c r="B504" s="1"/>
      <c r="C504" s="2"/>
      <c r="D504" s="1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13.2" x14ac:dyDescent="0.25">
      <c r="A505" s="1"/>
      <c r="B505" s="1"/>
      <c r="C505" s="2"/>
      <c r="D505" s="1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13.2" x14ac:dyDescent="0.25">
      <c r="A506" s="1"/>
      <c r="B506" s="1"/>
      <c r="C506" s="2"/>
      <c r="D506" s="1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13.2" x14ac:dyDescent="0.25">
      <c r="A507" s="1"/>
      <c r="B507" s="1"/>
      <c r="C507" s="2"/>
      <c r="D507" s="1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13.2" x14ac:dyDescent="0.25">
      <c r="A508" s="1"/>
      <c r="B508" s="1"/>
      <c r="C508" s="2"/>
      <c r="D508" s="1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13.2" x14ac:dyDescent="0.25">
      <c r="A509" s="1"/>
      <c r="B509" s="1"/>
      <c r="C509" s="2"/>
      <c r="D509" s="1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13.2" x14ac:dyDescent="0.25">
      <c r="A510" s="1"/>
      <c r="B510" s="1"/>
      <c r="C510" s="2"/>
      <c r="D510" s="1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13.2" x14ac:dyDescent="0.25">
      <c r="A511" s="1"/>
      <c r="B511" s="1"/>
      <c r="C511" s="2"/>
      <c r="D511" s="1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13.2" x14ac:dyDescent="0.25">
      <c r="A512" s="1"/>
      <c r="B512" s="1"/>
      <c r="C512" s="2"/>
      <c r="D512" s="1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13.2" x14ac:dyDescent="0.25">
      <c r="A513" s="1"/>
      <c r="B513" s="1"/>
      <c r="C513" s="2"/>
      <c r="D513" s="1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13.2" x14ac:dyDescent="0.25">
      <c r="A514" s="1"/>
      <c r="B514" s="1"/>
      <c r="C514" s="2"/>
      <c r="D514" s="1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13.2" x14ac:dyDescent="0.25">
      <c r="A515" s="1"/>
      <c r="B515" s="1"/>
      <c r="C515" s="2"/>
      <c r="D515" s="1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13.2" x14ac:dyDescent="0.25">
      <c r="A516" s="1"/>
      <c r="B516" s="1"/>
      <c r="C516" s="2"/>
      <c r="D516" s="1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13.2" x14ac:dyDescent="0.25">
      <c r="A517" s="1"/>
      <c r="B517" s="1"/>
      <c r="C517" s="2"/>
      <c r="D517" s="1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13.2" x14ac:dyDescent="0.25">
      <c r="A518" s="1"/>
      <c r="B518" s="1"/>
      <c r="C518" s="2"/>
      <c r="D518" s="1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13.2" x14ac:dyDescent="0.25">
      <c r="A519" s="1"/>
      <c r="B519" s="1"/>
      <c r="C519" s="2"/>
      <c r="D519" s="1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13.2" x14ac:dyDescent="0.25">
      <c r="A520" s="1"/>
      <c r="B520" s="1"/>
      <c r="C520" s="2"/>
      <c r="D520" s="1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13.2" x14ac:dyDescent="0.25">
      <c r="A521" s="1"/>
      <c r="B521" s="1"/>
      <c r="C521" s="2"/>
      <c r="D521" s="1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13.2" x14ac:dyDescent="0.25">
      <c r="A522" s="1"/>
      <c r="B522" s="1"/>
      <c r="C522" s="2"/>
      <c r="D522" s="1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13.2" x14ac:dyDescent="0.25">
      <c r="A523" s="1"/>
      <c r="B523" s="1"/>
      <c r="C523" s="2"/>
      <c r="D523" s="1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13.2" x14ac:dyDescent="0.25">
      <c r="A524" s="1"/>
      <c r="B524" s="1"/>
      <c r="C524" s="2"/>
      <c r="D524" s="1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13.2" x14ac:dyDescent="0.25">
      <c r="A525" s="1"/>
      <c r="B525" s="1"/>
      <c r="C525" s="2"/>
      <c r="D525" s="1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13.2" x14ac:dyDescent="0.25">
      <c r="A526" s="1"/>
      <c r="B526" s="1"/>
      <c r="C526" s="2"/>
      <c r="D526" s="1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13.2" x14ac:dyDescent="0.25">
      <c r="A527" s="1"/>
      <c r="B527" s="1"/>
      <c r="C527" s="2"/>
      <c r="D527" s="1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13.2" x14ac:dyDescent="0.25">
      <c r="A528" s="1"/>
      <c r="B528" s="1"/>
      <c r="C528" s="2"/>
      <c r="D528" s="1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13.2" x14ac:dyDescent="0.25">
      <c r="A529" s="1"/>
      <c r="B529" s="1"/>
      <c r="C529" s="2"/>
      <c r="D529" s="1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13.2" x14ac:dyDescent="0.25">
      <c r="A530" s="1"/>
      <c r="B530" s="1"/>
      <c r="C530" s="2"/>
      <c r="D530" s="1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13.2" x14ac:dyDescent="0.25">
      <c r="A531" s="1"/>
      <c r="B531" s="1"/>
      <c r="C531" s="2"/>
      <c r="D531" s="1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13.2" x14ac:dyDescent="0.25">
      <c r="A532" s="1"/>
      <c r="B532" s="1"/>
      <c r="C532" s="2"/>
      <c r="D532" s="1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13.2" x14ac:dyDescent="0.25">
      <c r="A533" s="1"/>
      <c r="B533" s="1"/>
      <c r="C533" s="2"/>
      <c r="D533" s="1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13.2" x14ac:dyDescent="0.25">
      <c r="A534" s="1"/>
      <c r="B534" s="1"/>
      <c r="C534" s="2"/>
      <c r="D534" s="1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13.2" x14ac:dyDescent="0.25">
      <c r="A535" s="1"/>
      <c r="B535" s="1"/>
      <c r="C535" s="2"/>
      <c r="D535" s="1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13.2" x14ac:dyDescent="0.25">
      <c r="A536" s="1"/>
      <c r="B536" s="1"/>
      <c r="C536" s="2"/>
      <c r="D536" s="1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13.2" x14ac:dyDescent="0.25">
      <c r="A537" s="1"/>
      <c r="B537" s="1"/>
      <c r="C537" s="2"/>
      <c r="D537" s="1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13.2" x14ac:dyDescent="0.25">
      <c r="A538" s="1"/>
      <c r="B538" s="1"/>
      <c r="C538" s="2"/>
      <c r="D538" s="1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13.2" x14ac:dyDescent="0.25">
      <c r="A539" s="1"/>
      <c r="B539" s="1"/>
      <c r="C539" s="2"/>
      <c r="D539" s="1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13.2" x14ac:dyDescent="0.25">
      <c r="A540" s="1"/>
      <c r="B540" s="1"/>
      <c r="C540" s="2"/>
      <c r="D540" s="1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13.2" x14ac:dyDescent="0.25">
      <c r="A541" s="1"/>
      <c r="B541" s="1"/>
      <c r="C541" s="2"/>
      <c r="D541" s="1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13.2" x14ac:dyDescent="0.25">
      <c r="A542" s="1"/>
      <c r="B542" s="1"/>
      <c r="C542" s="2"/>
      <c r="D542" s="1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13.2" x14ac:dyDescent="0.25">
      <c r="A543" s="1"/>
      <c r="B543" s="1"/>
      <c r="C543" s="2"/>
      <c r="D543" s="1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13.2" x14ac:dyDescent="0.25">
      <c r="A544" s="1"/>
      <c r="B544" s="1"/>
      <c r="C544" s="2"/>
      <c r="D544" s="1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13.2" x14ac:dyDescent="0.25">
      <c r="A545" s="1"/>
      <c r="B545" s="1"/>
      <c r="C545" s="2"/>
      <c r="D545" s="1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13.2" x14ac:dyDescent="0.25">
      <c r="A546" s="1"/>
      <c r="B546" s="1"/>
      <c r="C546" s="2"/>
      <c r="D546" s="1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13.2" x14ac:dyDescent="0.25">
      <c r="A547" s="1"/>
      <c r="B547" s="1"/>
      <c r="C547" s="2"/>
      <c r="D547" s="1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13.2" x14ac:dyDescent="0.25">
      <c r="A548" s="1"/>
      <c r="B548" s="1"/>
      <c r="C548" s="2"/>
      <c r="D548" s="1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13.2" x14ac:dyDescent="0.25">
      <c r="A549" s="1"/>
      <c r="B549" s="1"/>
      <c r="C549" s="2"/>
      <c r="D549" s="1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13.2" x14ac:dyDescent="0.25">
      <c r="A550" s="1"/>
      <c r="B550" s="1"/>
      <c r="C550" s="2"/>
      <c r="D550" s="1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13.2" x14ac:dyDescent="0.25">
      <c r="A551" s="1"/>
      <c r="B551" s="1"/>
      <c r="C551" s="2"/>
      <c r="D551" s="1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13.2" x14ac:dyDescent="0.25">
      <c r="A552" s="1"/>
      <c r="B552" s="1"/>
      <c r="C552" s="2"/>
      <c r="D552" s="1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13.2" x14ac:dyDescent="0.25">
      <c r="A553" s="1"/>
      <c r="B553" s="1"/>
      <c r="C553" s="2"/>
      <c r="D553" s="1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13.2" x14ac:dyDescent="0.25">
      <c r="A554" s="1"/>
      <c r="B554" s="1"/>
      <c r="C554" s="2"/>
      <c r="D554" s="1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13.2" x14ac:dyDescent="0.25">
      <c r="A555" s="1"/>
      <c r="B555" s="1"/>
      <c r="C555" s="2"/>
      <c r="D555" s="1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13.2" x14ac:dyDescent="0.25">
      <c r="A556" s="1"/>
      <c r="B556" s="1"/>
      <c r="C556" s="2"/>
      <c r="D556" s="1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13.2" x14ac:dyDescent="0.25">
      <c r="A557" s="1"/>
      <c r="B557" s="1"/>
      <c r="C557" s="2"/>
      <c r="D557" s="1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13.2" x14ac:dyDescent="0.25">
      <c r="A558" s="1"/>
      <c r="B558" s="1"/>
      <c r="C558" s="2"/>
      <c r="D558" s="1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13.2" x14ac:dyDescent="0.25">
      <c r="A559" s="1"/>
      <c r="B559" s="1"/>
      <c r="C559" s="2"/>
      <c r="D559" s="1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13.2" x14ac:dyDescent="0.25">
      <c r="A560" s="1"/>
      <c r="B560" s="1"/>
      <c r="C560" s="2"/>
      <c r="D560" s="1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13.2" x14ac:dyDescent="0.25">
      <c r="A561" s="1"/>
      <c r="B561" s="1"/>
      <c r="C561" s="2"/>
      <c r="D561" s="1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13.2" x14ac:dyDescent="0.25">
      <c r="A562" s="1"/>
      <c r="B562" s="1"/>
      <c r="C562" s="2"/>
      <c r="D562" s="1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13.2" x14ac:dyDescent="0.25">
      <c r="A563" s="1"/>
      <c r="B563" s="1"/>
      <c r="C563" s="2"/>
      <c r="D563" s="1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13.2" x14ac:dyDescent="0.25">
      <c r="A564" s="1"/>
      <c r="B564" s="1"/>
      <c r="C564" s="2"/>
      <c r="D564" s="1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13.2" x14ac:dyDescent="0.25">
      <c r="A565" s="1"/>
      <c r="B565" s="1"/>
      <c r="C565" s="2"/>
      <c r="D565" s="1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13.2" x14ac:dyDescent="0.25">
      <c r="A566" s="1"/>
      <c r="B566" s="1"/>
      <c r="C566" s="2"/>
      <c r="D566" s="1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13.2" x14ac:dyDescent="0.25">
      <c r="A567" s="1"/>
      <c r="B567" s="1"/>
      <c r="C567" s="2"/>
      <c r="D567" s="1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13.2" x14ac:dyDescent="0.25">
      <c r="A568" s="1"/>
      <c r="B568" s="1"/>
      <c r="C568" s="2"/>
      <c r="D568" s="1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13.2" x14ac:dyDescent="0.25">
      <c r="A569" s="1"/>
      <c r="B569" s="1"/>
      <c r="C569" s="2"/>
      <c r="D569" s="1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13.2" x14ac:dyDescent="0.25">
      <c r="A570" s="1"/>
      <c r="B570" s="1"/>
      <c r="C570" s="2"/>
      <c r="D570" s="1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13.2" x14ac:dyDescent="0.25">
      <c r="A571" s="1"/>
      <c r="B571" s="1"/>
      <c r="C571" s="2"/>
      <c r="D571" s="1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13.2" x14ac:dyDescent="0.25">
      <c r="A572" s="1"/>
      <c r="B572" s="1"/>
      <c r="C572" s="2"/>
      <c r="D572" s="1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13.2" x14ac:dyDescent="0.25">
      <c r="A573" s="1"/>
      <c r="B573" s="1"/>
      <c r="C573" s="2"/>
      <c r="D573" s="1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13.2" x14ac:dyDescent="0.25">
      <c r="A574" s="1"/>
      <c r="B574" s="1"/>
      <c r="C574" s="2"/>
      <c r="D574" s="1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13.2" x14ac:dyDescent="0.25">
      <c r="A575" s="1"/>
      <c r="B575" s="1"/>
      <c r="C575" s="2"/>
      <c r="D575" s="1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13.2" x14ac:dyDescent="0.25">
      <c r="A576" s="1"/>
      <c r="B576" s="1"/>
      <c r="C576" s="2"/>
      <c r="D576" s="1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13.2" x14ac:dyDescent="0.25">
      <c r="A577" s="1"/>
      <c r="B577" s="1"/>
      <c r="C577" s="2"/>
      <c r="D577" s="1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13.2" x14ac:dyDescent="0.25">
      <c r="A578" s="1"/>
      <c r="B578" s="1"/>
      <c r="C578" s="2"/>
      <c r="D578" s="1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13.2" x14ac:dyDescent="0.25">
      <c r="A579" s="1"/>
      <c r="B579" s="1"/>
      <c r="C579" s="2"/>
      <c r="D579" s="1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13.2" x14ac:dyDescent="0.25">
      <c r="A580" s="1"/>
      <c r="B580" s="1"/>
      <c r="C580" s="2"/>
      <c r="D580" s="1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13.2" x14ac:dyDescent="0.25">
      <c r="A581" s="1"/>
      <c r="B581" s="1"/>
      <c r="C581" s="2"/>
      <c r="D581" s="1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13.2" x14ac:dyDescent="0.25">
      <c r="A582" s="1"/>
      <c r="B582" s="1"/>
      <c r="C582" s="2"/>
      <c r="D582" s="1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13.2" x14ac:dyDescent="0.25">
      <c r="A583" s="1"/>
      <c r="B583" s="1"/>
      <c r="C583" s="2"/>
      <c r="D583" s="1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13.2" x14ac:dyDescent="0.25">
      <c r="A584" s="1"/>
      <c r="B584" s="1"/>
      <c r="C584" s="2"/>
      <c r="D584" s="1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13.2" x14ac:dyDescent="0.25">
      <c r="A585" s="1"/>
      <c r="B585" s="1"/>
      <c r="C585" s="2"/>
      <c r="D585" s="1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13.2" x14ac:dyDescent="0.25">
      <c r="A586" s="1"/>
      <c r="B586" s="1"/>
      <c r="C586" s="2"/>
      <c r="D586" s="1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13.2" x14ac:dyDescent="0.25">
      <c r="A587" s="1"/>
      <c r="B587" s="1"/>
      <c r="C587" s="2"/>
      <c r="D587" s="1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13.2" x14ac:dyDescent="0.25">
      <c r="A588" s="1"/>
      <c r="B588" s="1"/>
      <c r="C588" s="2"/>
      <c r="D588" s="1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13.2" x14ac:dyDescent="0.25">
      <c r="A589" s="1"/>
      <c r="B589" s="1"/>
      <c r="C589" s="2"/>
      <c r="D589" s="1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13.2" x14ac:dyDescent="0.25">
      <c r="A590" s="1"/>
      <c r="B590" s="1"/>
      <c r="C590" s="2"/>
      <c r="D590" s="1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13.2" x14ac:dyDescent="0.25">
      <c r="A591" s="1"/>
      <c r="B591" s="1"/>
      <c r="C591" s="2"/>
      <c r="D591" s="1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13.2" x14ac:dyDescent="0.25">
      <c r="A592" s="1"/>
      <c r="B592" s="1"/>
      <c r="C592" s="2"/>
      <c r="D592" s="1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13.2" x14ac:dyDescent="0.25">
      <c r="A593" s="1"/>
      <c r="B593" s="1"/>
      <c r="C593" s="2"/>
      <c r="D593" s="1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13.2" x14ac:dyDescent="0.25">
      <c r="A594" s="1"/>
      <c r="B594" s="1"/>
      <c r="C594" s="2"/>
      <c r="D594" s="1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13.2" x14ac:dyDescent="0.25">
      <c r="A595" s="1"/>
      <c r="B595" s="1"/>
      <c r="C595" s="2"/>
      <c r="D595" s="1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13.2" x14ac:dyDescent="0.25">
      <c r="A596" s="1"/>
      <c r="B596" s="1"/>
      <c r="C596" s="2"/>
      <c r="D596" s="1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13.2" x14ac:dyDescent="0.25">
      <c r="A597" s="1"/>
      <c r="B597" s="1"/>
      <c r="C597" s="2"/>
      <c r="D597" s="1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13.2" x14ac:dyDescent="0.25">
      <c r="A598" s="1"/>
      <c r="B598" s="1"/>
      <c r="C598" s="2"/>
      <c r="D598" s="1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13.2" x14ac:dyDescent="0.25">
      <c r="A599" s="1"/>
      <c r="B599" s="1"/>
      <c r="C599" s="2"/>
      <c r="D599" s="1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13.2" x14ac:dyDescent="0.25">
      <c r="A600" s="1"/>
      <c r="B600" s="1"/>
      <c r="C600" s="2"/>
      <c r="D600" s="1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13.2" x14ac:dyDescent="0.25">
      <c r="A601" s="1"/>
      <c r="B601" s="1"/>
      <c r="C601" s="2"/>
      <c r="D601" s="1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13.2" x14ac:dyDescent="0.25">
      <c r="A602" s="1"/>
      <c r="B602" s="1"/>
      <c r="C602" s="2"/>
      <c r="D602" s="1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13.2" x14ac:dyDescent="0.25">
      <c r="A603" s="1"/>
      <c r="B603" s="1"/>
      <c r="C603" s="2"/>
      <c r="D603" s="1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13.2" x14ac:dyDescent="0.25">
      <c r="A604" s="1"/>
      <c r="B604" s="1"/>
      <c r="C604" s="2"/>
      <c r="D604" s="1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13.2" x14ac:dyDescent="0.25">
      <c r="A605" s="1"/>
      <c r="B605" s="1"/>
      <c r="C605" s="2"/>
      <c r="D605" s="1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13.2" x14ac:dyDescent="0.25">
      <c r="A606" s="1"/>
      <c r="B606" s="1"/>
      <c r="C606" s="2"/>
      <c r="D606" s="1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13.2" x14ac:dyDescent="0.25">
      <c r="A607" s="1"/>
      <c r="B607" s="1"/>
      <c r="C607" s="2"/>
      <c r="D607" s="1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13.2" x14ac:dyDescent="0.25">
      <c r="A608" s="1"/>
      <c r="B608" s="1"/>
      <c r="C608" s="2"/>
      <c r="D608" s="1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13.2" x14ac:dyDescent="0.25">
      <c r="A609" s="1"/>
      <c r="B609" s="1"/>
      <c r="C609" s="2"/>
      <c r="D609" s="1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13.2" x14ac:dyDescent="0.25">
      <c r="A610" s="1"/>
      <c r="B610" s="1"/>
      <c r="C610" s="2"/>
      <c r="D610" s="1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13.2" x14ac:dyDescent="0.25">
      <c r="A611" s="1"/>
      <c r="B611" s="1"/>
      <c r="C611" s="2"/>
      <c r="D611" s="1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13.2" x14ac:dyDescent="0.25">
      <c r="A612" s="1"/>
      <c r="B612" s="1"/>
      <c r="C612" s="2"/>
      <c r="D612" s="1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13.2" x14ac:dyDescent="0.25">
      <c r="A613" s="1"/>
      <c r="B613" s="1"/>
      <c r="C613" s="2"/>
      <c r="D613" s="1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13.2" x14ac:dyDescent="0.25">
      <c r="A614" s="1"/>
      <c r="B614" s="1"/>
      <c r="C614" s="2"/>
      <c r="D614" s="1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13.2" x14ac:dyDescent="0.25">
      <c r="A615" s="1"/>
      <c r="B615" s="1"/>
      <c r="C615" s="2"/>
      <c r="D615" s="1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13.2" x14ac:dyDescent="0.25">
      <c r="A616" s="1"/>
      <c r="B616" s="1"/>
      <c r="C616" s="2"/>
      <c r="D616" s="1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13.2" x14ac:dyDescent="0.25">
      <c r="A617" s="1"/>
      <c r="B617" s="1"/>
      <c r="C617" s="2"/>
      <c r="D617" s="1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13.2" x14ac:dyDescent="0.25">
      <c r="A618" s="1"/>
      <c r="B618" s="1"/>
      <c r="C618" s="2"/>
      <c r="D618" s="1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13.2" x14ac:dyDescent="0.25">
      <c r="A619" s="1"/>
      <c r="B619" s="1"/>
      <c r="C619" s="2"/>
      <c r="D619" s="1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13.2" x14ac:dyDescent="0.25">
      <c r="A620" s="1"/>
      <c r="B620" s="1"/>
      <c r="C620" s="2"/>
      <c r="D620" s="1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13.2" x14ac:dyDescent="0.25">
      <c r="A621" s="1"/>
      <c r="B621" s="1"/>
      <c r="C621" s="2"/>
      <c r="D621" s="1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13.2" x14ac:dyDescent="0.25">
      <c r="A622" s="1"/>
      <c r="B622" s="1"/>
      <c r="C622" s="2"/>
      <c r="D622" s="1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13.2" x14ac:dyDescent="0.25">
      <c r="A623" s="1"/>
      <c r="B623" s="1"/>
      <c r="C623" s="2"/>
      <c r="D623" s="1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13.2" x14ac:dyDescent="0.25">
      <c r="A624" s="1"/>
      <c r="B624" s="1"/>
      <c r="C624" s="2"/>
      <c r="D624" s="1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13.2" x14ac:dyDescent="0.25">
      <c r="A625" s="1"/>
      <c r="B625" s="1"/>
      <c r="C625" s="2"/>
      <c r="D625" s="1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13.2" x14ac:dyDescent="0.25">
      <c r="A626" s="1"/>
      <c r="B626" s="1"/>
      <c r="C626" s="2"/>
      <c r="D626" s="1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13.2" x14ac:dyDescent="0.25">
      <c r="A627" s="1"/>
      <c r="B627" s="1"/>
      <c r="C627" s="2"/>
      <c r="D627" s="1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13.2" x14ac:dyDescent="0.25">
      <c r="A628" s="1"/>
      <c r="B628" s="1"/>
      <c r="C628" s="2"/>
      <c r="D628" s="1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13.2" x14ac:dyDescent="0.25">
      <c r="A629" s="1"/>
      <c r="B629" s="1"/>
      <c r="C629" s="2"/>
      <c r="D629" s="1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13.2" x14ac:dyDescent="0.25">
      <c r="A630" s="1"/>
      <c r="B630" s="1"/>
      <c r="C630" s="2"/>
      <c r="D630" s="1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13.2" x14ac:dyDescent="0.25">
      <c r="A631" s="1"/>
      <c r="B631" s="1"/>
      <c r="C631" s="2"/>
      <c r="D631" s="1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13.2" x14ac:dyDescent="0.25">
      <c r="A632" s="1"/>
      <c r="B632" s="1"/>
      <c r="C632" s="2"/>
      <c r="D632" s="1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13.2" x14ac:dyDescent="0.25">
      <c r="A633" s="1"/>
      <c r="B633" s="1"/>
      <c r="C633" s="2"/>
      <c r="D633" s="1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13.2" x14ac:dyDescent="0.25">
      <c r="A634" s="1"/>
      <c r="B634" s="1"/>
      <c r="C634" s="2"/>
      <c r="D634" s="1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13.2" x14ac:dyDescent="0.25">
      <c r="A635" s="1"/>
      <c r="B635" s="1"/>
      <c r="C635" s="2"/>
      <c r="D635" s="1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13.2" x14ac:dyDescent="0.25">
      <c r="A636" s="1"/>
      <c r="B636" s="1"/>
      <c r="C636" s="2"/>
      <c r="D636" s="1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13.2" x14ac:dyDescent="0.25">
      <c r="A637" s="1"/>
      <c r="B637" s="1"/>
      <c r="C637" s="2"/>
      <c r="D637" s="1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13.2" x14ac:dyDescent="0.25">
      <c r="A638" s="1"/>
      <c r="B638" s="1"/>
      <c r="C638" s="2"/>
      <c r="D638" s="1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13.2" x14ac:dyDescent="0.25">
      <c r="A639" s="1"/>
      <c r="B639" s="1"/>
      <c r="C639" s="2"/>
      <c r="D639" s="1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13.2" x14ac:dyDescent="0.25">
      <c r="A640" s="1"/>
      <c r="B640" s="1"/>
      <c r="C640" s="2"/>
      <c r="D640" s="1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13.2" x14ac:dyDescent="0.25">
      <c r="A641" s="1"/>
      <c r="B641" s="1"/>
      <c r="C641" s="2"/>
      <c r="D641" s="1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13.2" x14ac:dyDescent="0.25">
      <c r="A642" s="1"/>
      <c r="B642" s="1"/>
      <c r="C642" s="2"/>
      <c r="D642" s="1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13.2" x14ac:dyDescent="0.25">
      <c r="A643" s="1"/>
      <c r="B643" s="1"/>
      <c r="C643" s="2"/>
      <c r="D643" s="1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13.2" x14ac:dyDescent="0.25">
      <c r="A644" s="1"/>
      <c r="B644" s="1"/>
      <c r="C644" s="2"/>
      <c r="D644" s="1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13.2" x14ac:dyDescent="0.25">
      <c r="A645" s="1"/>
      <c r="B645" s="1"/>
      <c r="C645" s="2"/>
      <c r="D645" s="1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13.2" x14ac:dyDescent="0.25">
      <c r="A646" s="1"/>
      <c r="B646" s="1"/>
      <c r="C646" s="2"/>
      <c r="D646" s="1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13.2" x14ac:dyDescent="0.25">
      <c r="A647" s="1"/>
      <c r="B647" s="1"/>
      <c r="C647" s="2"/>
      <c r="D647" s="1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13.2" x14ac:dyDescent="0.25">
      <c r="A648" s="1"/>
      <c r="B648" s="1"/>
      <c r="C648" s="2"/>
      <c r="D648" s="1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13.2" x14ac:dyDescent="0.25">
      <c r="A649" s="1"/>
      <c r="B649" s="1"/>
      <c r="C649" s="2"/>
      <c r="D649" s="1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13.2" x14ac:dyDescent="0.25">
      <c r="A650" s="1"/>
      <c r="B650" s="1"/>
      <c r="C650" s="2"/>
      <c r="D650" s="1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13.2" x14ac:dyDescent="0.25">
      <c r="A651" s="1"/>
      <c r="B651" s="1"/>
      <c r="C651" s="2"/>
      <c r="D651" s="1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ht="13.2" x14ac:dyDescent="0.25">
      <c r="A652" s="1"/>
      <c r="B652" s="1"/>
      <c r="C652" s="2"/>
      <c r="D652" s="1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13.2" x14ac:dyDescent="0.25">
      <c r="A653" s="1"/>
      <c r="B653" s="1"/>
      <c r="C653" s="2"/>
      <c r="D653" s="1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13.2" x14ac:dyDescent="0.25">
      <c r="A654" s="1"/>
      <c r="B654" s="1"/>
      <c r="C654" s="2"/>
      <c r="D654" s="1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13.2" x14ac:dyDescent="0.25">
      <c r="A655" s="1"/>
      <c r="B655" s="1"/>
      <c r="C655" s="2"/>
      <c r="D655" s="1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13.2" x14ac:dyDescent="0.25">
      <c r="A656" s="1"/>
      <c r="B656" s="1"/>
      <c r="C656" s="2"/>
      <c r="D656" s="1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13.2" x14ac:dyDescent="0.25">
      <c r="A657" s="1"/>
      <c r="B657" s="1"/>
      <c r="C657" s="2"/>
      <c r="D657" s="1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13.2" x14ac:dyDescent="0.25">
      <c r="A658" s="1"/>
      <c r="B658" s="1"/>
      <c r="C658" s="2"/>
      <c r="D658" s="1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13.2" x14ac:dyDescent="0.25">
      <c r="A659" s="1"/>
      <c r="B659" s="1"/>
      <c r="C659" s="2"/>
      <c r="D659" s="1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13.2" x14ac:dyDescent="0.25">
      <c r="A660" s="1"/>
      <c r="B660" s="1"/>
      <c r="C660" s="2"/>
      <c r="D660" s="1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13.2" x14ac:dyDescent="0.25">
      <c r="A661" s="1"/>
      <c r="B661" s="1"/>
      <c r="C661" s="2"/>
      <c r="D661" s="1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13.2" x14ac:dyDescent="0.25">
      <c r="A662" s="1"/>
      <c r="B662" s="1"/>
      <c r="C662" s="2"/>
      <c r="D662" s="1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13.2" x14ac:dyDescent="0.25">
      <c r="A663" s="1"/>
      <c r="B663" s="1"/>
      <c r="C663" s="2"/>
      <c r="D663" s="1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13.2" x14ac:dyDescent="0.25">
      <c r="A664" s="1"/>
      <c r="B664" s="1"/>
      <c r="C664" s="2"/>
      <c r="D664" s="1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13.2" x14ac:dyDescent="0.25">
      <c r="A665" s="1"/>
      <c r="B665" s="1"/>
      <c r="C665" s="2"/>
      <c r="D665" s="1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13.2" x14ac:dyDescent="0.25">
      <c r="A666" s="1"/>
      <c r="B666" s="1"/>
      <c r="C666" s="2"/>
      <c r="D666" s="1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13.2" x14ac:dyDescent="0.25">
      <c r="A667" s="1"/>
      <c r="B667" s="1"/>
      <c r="C667" s="2"/>
      <c r="D667" s="1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13.2" x14ac:dyDescent="0.25">
      <c r="A668" s="1"/>
      <c r="B668" s="1"/>
      <c r="C668" s="2"/>
      <c r="D668" s="1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13.2" x14ac:dyDescent="0.25">
      <c r="A669" s="1"/>
      <c r="B669" s="1"/>
      <c r="C669" s="2"/>
      <c r="D669" s="1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13.2" x14ac:dyDescent="0.25">
      <c r="A670" s="1"/>
      <c r="B670" s="1"/>
      <c r="C670" s="2"/>
      <c r="D670" s="1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13.2" x14ac:dyDescent="0.25">
      <c r="A671" s="1"/>
      <c r="B671" s="1"/>
      <c r="C671" s="2"/>
      <c r="D671" s="1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13.2" x14ac:dyDescent="0.25">
      <c r="A672" s="1"/>
      <c r="B672" s="1"/>
      <c r="C672" s="2"/>
      <c r="D672" s="1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13.2" x14ac:dyDescent="0.25">
      <c r="A673" s="1"/>
      <c r="B673" s="1"/>
      <c r="C673" s="2"/>
      <c r="D673" s="1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13.2" x14ac:dyDescent="0.25">
      <c r="A674" s="1"/>
      <c r="B674" s="1"/>
      <c r="C674" s="2"/>
      <c r="D674" s="1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13.2" x14ac:dyDescent="0.25">
      <c r="A675" s="1"/>
      <c r="B675" s="1"/>
      <c r="C675" s="2"/>
      <c r="D675" s="1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13.2" x14ac:dyDescent="0.25">
      <c r="A676" s="1"/>
      <c r="B676" s="1"/>
      <c r="C676" s="2"/>
      <c r="D676" s="1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13.2" x14ac:dyDescent="0.25">
      <c r="A677" s="1"/>
      <c r="B677" s="1"/>
      <c r="C677" s="2"/>
      <c r="D677" s="1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13.2" x14ac:dyDescent="0.25">
      <c r="A678" s="1"/>
      <c r="B678" s="1"/>
      <c r="C678" s="2"/>
      <c r="D678" s="1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13.2" x14ac:dyDescent="0.25">
      <c r="A679" s="1"/>
      <c r="B679" s="1"/>
      <c r="C679" s="2"/>
      <c r="D679" s="1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13.2" x14ac:dyDescent="0.25">
      <c r="A680" s="1"/>
      <c r="B680" s="1"/>
      <c r="C680" s="2"/>
      <c r="D680" s="1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13.2" x14ac:dyDescent="0.25">
      <c r="A681" s="1"/>
      <c r="B681" s="1"/>
      <c r="C681" s="2"/>
      <c r="D681" s="1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13.2" x14ac:dyDescent="0.25">
      <c r="A682" s="1"/>
      <c r="B682" s="1"/>
      <c r="C682" s="2"/>
      <c r="D682" s="1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ht="13.2" x14ac:dyDescent="0.25">
      <c r="A683" s="1"/>
      <c r="B683" s="1"/>
      <c r="C683" s="2"/>
      <c r="D683" s="1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ht="13.2" x14ac:dyDescent="0.25">
      <c r="A684" s="1"/>
      <c r="B684" s="1"/>
      <c r="C684" s="2"/>
      <c r="D684" s="1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ht="13.2" x14ac:dyDescent="0.25">
      <c r="A685" s="1"/>
      <c r="B685" s="1"/>
      <c r="C685" s="2"/>
      <c r="D685" s="1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ht="13.2" x14ac:dyDescent="0.25">
      <c r="A686" s="1"/>
      <c r="B686" s="1"/>
      <c r="C686" s="2"/>
      <c r="D686" s="1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ht="13.2" x14ac:dyDescent="0.25">
      <c r="A687" s="1"/>
      <c r="B687" s="1"/>
      <c r="C687" s="2"/>
      <c r="D687" s="1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ht="13.2" x14ac:dyDescent="0.25">
      <c r="A688" s="1"/>
      <c r="B688" s="1"/>
      <c r="C688" s="2"/>
      <c r="D688" s="1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ht="13.2" x14ac:dyDescent="0.25">
      <c r="A689" s="1"/>
      <c r="B689" s="1"/>
      <c r="C689" s="2"/>
      <c r="D689" s="1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ht="13.2" x14ac:dyDescent="0.25">
      <c r="A690" s="1"/>
      <c r="B690" s="1"/>
      <c r="C690" s="2"/>
      <c r="D690" s="1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ht="13.2" x14ac:dyDescent="0.25">
      <c r="A691" s="1"/>
      <c r="B691" s="1"/>
      <c r="C691" s="2"/>
      <c r="D691" s="1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ht="13.2" x14ac:dyDescent="0.25">
      <c r="A692" s="1"/>
      <c r="B692" s="1"/>
      <c r="C692" s="2"/>
      <c r="D692" s="1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ht="13.2" x14ac:dyDescent="0.25">
      <c r="A693" s="1"/>
      <c r="B693" s="1"/>
      <c r="C693" s="2"/>
      <c r="D693" s="1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13.2" x14ac:dyDescent="0.25">
      <c r="A694" s="1"/>
      <c r="B694" s="1"/>
      <c r="C694" s="2"/>
      <c r="D694" s="1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13.2" x14ac:dyDescent="0.25">
      <c r="A695" s="1"/>
      <c r="B695" s="1"/>
      <c r="C695" s="2"/>
      <c r="D695" s="1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13.2" x14ac:dyDescent="0.25">
      <c r="A696" s="1"/>
      <c r="B696" s="1"/>
      <c r="C696" s="2"/>
      <c r="D696" s="1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13.2" x14ac:dyDescent="0.25">
      <c r="A697" s="1"/>
      <c r="B697" s="1"/>
      <c r="C697" s="2"/>
      <c r="D697" s="1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13.2" x14ac:dyDescent="0.25">
      <c r="A698" s="1"/>
      <c r="B698" s="1"/>
      <c r="C698" s="2"/>
      <c r="D698" s="1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13.2" x14ac:dyDescent="0.25">
      <c r="A699" s="1"/>
      <c r="B699" s="1"/>
      <c r="C699" s="2"/>
      <c r="D699" s="1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13.2" x14ac:dyDescent="0.25">
      <c r="A700" s="1"/>
      <c r="B700" s="1"/>
      <c r="C700" s="2"/>
      <c r="D700" s="1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13.2" x14ac:dyDescent="0.25">
      <c r="A701" s="1"/>
      <c r="B701" s="1"/>
      <c r="C701" s="2"/>
      <c r="D701" s="1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13.2" x14ac:dyDescent="0.25">
      <c r="A702" s="1"/>
      <c r="B702" s="1"/>
      <c r="C702" s="2"/>
      <c r="D702" s="1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13.2" x14ac:dyDescent="0.25">
      <c r="A703" s="1"/>
      <c r="B703" s="1"/>
      <c r="C703" s="2"/>
      <c r="D703" s="1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13.2" x14ac:dyDescent="0.25">
      <c r="A704" s="1"/>
      <c r="B704" s="1"/>
      <c r="C704" s="2"/>
      <c r="D704" s="1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ht="13.2" x14ac:dyDescent="0.25">
      <c r="A705" s="1"/>
      <c r="B705" s="1"/>
      <c r="C705" s="2"/>
      <c r="D705" s="1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ht="13.2" x14ac:dyDescent="0.25">
      <c r="A706" s="1"/>
      <c r="B706" s="1"/>
      <c r="C706" s="2"/>
      <c r="D706" s="1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ht="13.2" x14ac:dyDescent="0.25">
      <c r="A707" s="1"/>
      <c r="B707" s="1"/>
      <c r="C707" s="2"/>
      <c r="D707" s="1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ht="13.2" x14ac:dyDescent="0.25">
      <c r="A708" s="1"/>
      <c r="B708" s="1"/>
      <c r="C708" s="2"/>
      <c r="D708" s="1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ht="13.2" x14ac:dyDescent="0.25">
      <c r="A709" s="1"/>
      <c r="B709" s="1"/>
      <c r="C709" s="2"/>
      <c r="D709" s="1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ht="13.2" x14ac:dyDescent="0.25">
      <c r="A710" s="1"/>
      <c r="B710" s="1"/>
      <c r="C710" s="2"/>
      <c r="D710" s="1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ht="13.2" x14ac:dyDescent="0.25">
      <c r="A711" s="1"/>
      <c r="B711" s="1"/>
      <c r="C711" s="2"/>
      <c r="D711" s="1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ht="13.2" x14ac:dyDescent="0.25">
      <c r="A712" s="1"/>
      <c r="B712" s="1"/>
      <c r="C712" s="2"/>
      <c r="D712" s="1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ht="13.2" x14ac:dyDescent="0.25">
      <c r="A713" s="1"/>
      <c r="B713" s="1"/>
      <c r="C713" s="2"/>
      <c r="D713" s="1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ht="13.2" x14ac:dyDescent="0.25">
      <c r="A714" s="1"/>
      <c r="B714" s="1"/>
      <c r="C714" s="2"/>
      <c r="D714" s="1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ht="13.2" x14ac:dyDescent="0.25">
      <c r="A715" s="1"/>
      <c r="B715" s="1"/>
      <c r="C715" s="2"/>
      <c r="D715" s="1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ht="13.2" x14ac:dyDescent="0.25">
      <c r="A716" s="1"/>
      <c r="B716" s="1"/>
      <c r="C716" s="2"/>
      <c r="D716" s="1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ht="13.2" x14ac:dyDescent="0.25">
      <c r="A717" s="1"/>
      <c r="B717" s="1"/>
      <c r="C717" s="2"/>
      <c r="D717" s="1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ht="13.2" x14ac:dyDescent="0.25">
      <c r="A718" s="1"/>
      <c r="B718" s="1"/>
      <c r="C718" s="2"/>
      <c r="D718" s="1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ht="13.2" x14ac:dyDescent="0.25">
      <c r="A719" s="1"/>
      <c r="B719" s="1"/>
      <c r="C719" s="2"/>
      <c r="D719" s="1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ht="13.2" x14ac:dyDescent="0.25">
      <c r="A720" s="1"/>
      <c r="B720" s="1"/>
      <c r="C720" s="2"/>
      <c r="D720" s="1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ht="13.2" x14ac:dyDescent="0.25">
      <c r="A721" s="1"/>
      <c r="B721" s="1"/>
      <c r="C721" s="2"/>
      <c r="D721" s="1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ht="13.2" x14ac:dyDescent="0.25">
      <c r="A722" s="1"/>
      <c r="B722" s="1"/>
      <c r="C722" s="2"/>
      <c r="D722" s="1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ht="13.2" x14ac:dyDescent="0.25">
      <c r="A723" s="1"/>
      <c r="B723" s="1"/>
      <c r="C723" s="2"/>
      <c r="D723" s="1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ht="13.2" x14ac:dyDescent="0.25">
      <c r="A724" s="1"/>
      <c r="B724" s="1"/>
      <c r="C724" s="2"/>
      <c r="D724" s="1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ht="13.2" x14ac:dyDescent="0.25">
      <c r="A725" s="1"/>
      <c r="B725" s="1"/>
      <c r="C725" s="2"/>
      <c r="D725" s="1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ht="13.2" x14ac:dyDescent="0.25">
      <c r="A726" s="1"/>
      <c r="B726" s="1"/>
      <c r="C726" s="2"/>
      <c r="D726" s="1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ht="13.2" x14ac:dyDescent="0.25">
      <c r="A727" s="1"/>
      <c r="B727" s="1"/>
      <c r="C727" s="2"/>
      <c r="D727" s="1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ht="13.2" x14ac:dyDescent="0.25">
      <c r="A728" s="1"/>
      <c r="B728" s="1"/>
      <c r="C728" s="2"/>
      <c r="D728" s="1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ht="13.2" x14ac:dyDescent="0.25">
      <c r="A729" s="1"/>
      <c r="B729" s="1"/>
      <c r="C729" s="2"/>
      <c r="D729" s="1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ht="13.2" x14ac:dyDescent="0.25">
      <c r="A730" s="1"/>
      <c r="B730" s="1"/>
      <c r="C730" s="2"/>
      <c r="D730" s="1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ht="13.2" x14ac:dyDescent="0.25">
      <c r="A731" s="1"/>
      <c r="B731" s="1"/>
      <c r="C731" s="2"/>
      <c r="D731" s="1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ht="13.2" x14ac:dyDescent="0.25">
      <c r="A732" s="1"/>
      <c r="B732" s="1"/>
      <c r="C732" s="2"/>
      <c r="D732" s="1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ht="13.2" x14ac:dyDescent="0.25">
      <c r="A733" s="1"/>
      <c r="B733" s="1"/>
      <c r="C733" s="2"/>
      <c r="D733" s="1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ht="13.2" x14ac:dyDescent="0.25">
      <c r="A734" s="1"/>
      <c r="B734" s="1"/>
      <c r="C734" s="2"/>
      <c r="D734" s="1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ht="13.2" x14ac:dyDescent="0.25">
      <c r="A735" s="1"/>
      <c r="B735" s="1"/>
      <c r="C735" s="2"/>
      <c r="D735" s="1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ht="13.2" x14ac:dyDescent="0.25">
      <c r="A736" s="1"/>
      <c r="B736" s="1"/>
      <c r="C736" s="2"/>
      <c r="D736" s="1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ht="13.2" x14ac:dyDescent="0.25">
      <c r="A737" s="1"/>
      <c r="B737" s="1"/>
      <c r="C737" s="2"/>
      <c r="D737" s="1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ht="13.2" x14ac:dyDescent="0.25">
      <c r="A738" s="1"/>
      <c r="B738" s="1"/>
      <c r="C738" s="2"/>
      <c r="D738" s="1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ht="13.2" x14ac:dyDescent="0.25">
      <c r="A739" s="1"/>
      <c r="B739" s="1"/>
      <c r="C739" s="2"/>
      <c r="D739" s="1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ht="13.2" x14ac:dyDescent="0.25">
      <c r="A740" s="1"/>
      <c r="B740" s="1"/>
      <c r="C740" s="2"/>
      <c r="D740" s="1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ht="13.2" x14ac:dyDescent="0.25">
      <c r="A741" s="1"/>
      <c r="B741" s="1"/>
      <c r="C741" s="2"/>
      <c r="D741" s="1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ht="13.2" x14ac:dyDescent="0.25">
      <c r="A742" s="1"/>
      <c r="B742" s="1"/>
      <c r="C742" s="2"/>
      <c r="D742" s="1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ht="13.2" x14ac:dyDescent="0.25">
      <c r="A743" s="1"/>
      <c r="B743" s="1"/>
      <c r="C743" s="2"/>
      <c r="D743" s="1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ht="13.2" x14ac:dyDescent="0.25">
      <c r="A744" s="1"/>
      <c r="B744" s="1"/>
      <c r="C744" s="2"/>
      <c r="D744" s="1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ht="13.2" x14ac:dyDescent="0.25">
      <c r="A745" s="1"/>
      <c r="B745" s="1"/>
      <c r="C745" s="2"/>
      <c r="D745" s="1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ht="13.2" x14ac:dyDescent="0.25">
      <c r="A746" s="1"/>
      <c r="B746" s="1"/>
      <c r="C746" s="2"/>
      <c r="D746" s="1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ht="13.2" x14ac:dyDescent="0.25">
      <c r="A747" s="1"/>
      <c r="B747" s="1"/>
      <c r="C747" s="2"/>
      <c r="D747" s="1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ht="13.2" x14ac:dyDescent="0.25">
      <c r="A748" s="1"/>
      <c r="B748" s="1"/>
      <c r="C748" s="2"/>
      <c r="D748" s="1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ht="13.2" x14ac:dyDescent="0.25">
      <c r="A749" s="1"/>
      <c r="B749" s="1"/>
      <c r="C749" s="2"/>
      <c r="D749" s="1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ht="13.2" x14ac:dyDescent="0.25">
      <c r="A750" s="1"/>
      <c r="B750" s="1"/>
      <c r="C750" s="2"/>
      <c r="D750" s="1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ht="13.2" x14ac:dyDescent="0.25">
      <c r="A751" s="1"/>
      <c r="B751" s="1"/>
      <c r="C751" s="2"/>
      <c r="D751" s="1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ht="13.2" x14ac:dyDescent="0.25">
      <c r="A752" s="1"/>
      <c r="B752" s="1"/>
      <c r="C752" s="2"/>
      <c r="D752" s="1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ht="13.2" x14ac:dyDescent="0.25">
      <c r="A753" s="1"/>
      <c r="B753" s="1"/>
      <c r="C753" s="2"/>
      <c r="D753" s="1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ht="13.2" x14ac:dyDescent="0.25">
      <c r="A754" s="1"/>
      <c r="B754" s="1"/>
      <c r="C754" s="2"/>
      <c r="D754" s="1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ht="13.2" x14ac:dyDescent="0.25">
      <c r="A755" s="1"/>
      <c r="B755" s="1"/>
      <c r="C755" s="2"/>
      <c r="D755" s="1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ht="13.2" x14ac:dyDescent="0.25">
      <c r="A756" s="1"/>
      <c r="B756" s="1"/>
      <c r="C756" s="2"/>
      <c r="D756" s="1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ht="13.2" x14ac:dyDescent="0.25">
      <c r="A757" s="1"/>
      <c r="B757" s="1"/>
      <c r="C757" s="2"/>
      <c r="D757" s="1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ht="13.2" x14ac:dyDescent="0.25">
      <c r="A758" s="1"/>
      <c r="B758" s="1"/>
      <c r="C758" s="2"/>
      <c r="D758" s="1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ht="13.2" x14ac:dyDescent="0.25">
      <c r="A759" s="1"/>
      <c r="B759" s="1"/>
      <c r="C759" s="2"/>
      <c r="D759" s="1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ht="13.2" x14ac:dyDescent="0.25">
      <c r="A760" s="1"/>
      <c r="B760" s="1"/>
      <c r="C760" s="2"/>
      <c r="D760" s="1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ht="13.2" x14ac:dyDescent="0.25">
      <c r="A761" s="1"/>
      <c r="B761" s="1"/>
      <c r="C761" s="2"/>
      <c r="D761" s="1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ht="13.2" x14ac:dyDescent="0.25">
      <c r="A762" s="1"/>
      <c r="B762" s="1"/>
      <c r="C762" s="2"/>
      <c r="D762" s="1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ht="13.2" x14ac:dyDescent="0.25">
      <c r="A763" s="1"/>
      <c r="B763" s="1"/>
      <c r="C763" s="2"/>
      <c r="D763" s="1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ht="13.2" x14ac:dyDescent="0.25">
      <c r="A764" s="1"/>
      <c r="B764" s="1"/>
      <c r="C764" s="2"/>
      <c r="D764" s="1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ht="13.2" x14ac:dyDescent="0.25">
      <c r="A765" s="1"/>
      <c r="B765" s="1"/>
      <c r="C765" s="2"/>
      <c r="D765" s="1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ht="13.2" x14ac:dyDescent="0.25">
      <c r="A766" s="1"/>
      <c r="B766" s="1"/>
      <c r="C766" s="2"/>
      <c r="D766" s="1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ht="13.2" x14ac:dyDescent="0.25">
      <c r="A767" s="1"/>
      <c r="B767" s="1"/>
      <c r="C767" s="2"/>
      <c r="D767" s="1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ht="13.2" x14ac:dyDescent="0.25">
      <c r="A768" s="1"/>
      <c r="B768" s="1"/>
      <c r="C768" s="2"/>
      <c r="D768" s="1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ht="13.2" x14ac:dyDescent="0.25">
      <c r="A769" s="1"/>
      <c r="B769" s="1"/>
      <c r="C769" s="2"/>
      <c r="D769" s="1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ht="13.2" x14ac:dyDescent="0.25">
      <c r="A770" s="1"/>
      <c r="B770" s="1"/>
      <c r="C770" s="2"/>
      <c r="D770" s="1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ht="13.2" x14ac:dyDescent="0.25">
      <c r="A771" s="1"/>
      <c r="B771" s="1"/>
      <c r="C771" s="2"/>
      <c r="D771" s="1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ht="13.2" x14ac:dyDescent="0.25">
      <c r="A772" s="1"/>
      <c r="B772" s="1"/>
      <c r="C772" s="2"/>
      <c r="D772" s="1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ht="13.2" x14ac:dyDescent="0.25">
      <c r="A773" s="1"/>
      <c r="B773" s="1"/>
      <c r="C773" s="2"/>
      <c r="D773" s="1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ht="13.2" x14ac:dyDescent="0.25">
      <c r="A774" s="1"/>
      <c r="B774" s="1"/>
      <c r="C774" s="2"/>
      <c r="D774" s="1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ht="13.2" x14ac:dyDescent="0.25">
      <c r="A775" s="1"/>
      <c r="B775" s="1"/>
      <c r="C775" s="2"/>
      <c r="D775" s="1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ht="13.2" x14ac:dyDescent="0.25">
      <c r="A776" s="1"/>
      <c r="B776" s="1"/>
      <c r="C776" s="2"/>
      <c r="D776" s="1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ht="13.2" x14ac:dyDescent="0.25">
      <c r="A777" s="1"/>
      <c r="B777" s="1"/>
      <c r="C777" s="2"/>
      <c r="D777" s="1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ht="13.2" x14ac:dyDescent="0.25">
      <c r="A778" s="1"/>
      <c r="B778" s="1"/>
      <c r="C778" s="2"/>
      <c r="D778" s="1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ht="13.2" x14ac:dyDescent="0.25">
      <c r="A779" s="1"/>
      <c r="B779" s="1"/>
      <c r="C779" s="2"/>
      <c r="D779" s="1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ht="13.2" x14ac:dyDescent="0.25">
      <c r="A780" s="1"/>
      <c r="B780" s="1"/>
      <c r="C780" s="2"/>
      <c r="D780" s="1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ht="13.2" x14ac:dyDescent="0.25">
      <c r="A781" s="1"/>
      <c r="B781" s="1"/>
      <c r="C781" s="2"/>
      <c r="D781" s="1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ht="13.2" x14ac:dyDescent="0.25">
      <c r="A782" s="1"/>
      <c r="B782" s="1"/>
      <c r="C782" s="2"/>
      <c r="D782" s="1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ht="13.2" x14ac:dyDescent="0.25">
      <c r="A783" s="1"/>
      <c r="B783" s="1"/>
      <c r="C783" s="2"/>
      <c r="D783" s="1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ht="13.2" x14ac:dyDescent="0.25">
      <c r="A784" s="1"/>
      <c r="B784" s="1"/>
      <c r="C784" s="2"/>
      <c r="D784" s="1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ht="13.2" x14ac:dyDescent="0.25">
      <c r="A785" s="1"/>
      <c r="B785" s="1"/>
      <c r="C785" s="2"/>
      <c r="D785" s="1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ht="13.2" x14ac:dyDescent="0.25">
      <c r="A786" s="1"/>
      <c r="B786" s="1"/>
      <c r="C786" s="2"/>
      <c r="D786" s="1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ht="13.2" x14ac:dyDescent="0.25">
      <c r="A787" s="1"/>
      <c r="B787" s="1"/>
      <c r="C787" s="2"/>
      <c r="D787" s="1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ht="13.2" x14ac:dyDescent="0.25">
      <c r="A788" s="1"/>
      <c r="B788" s="1"/>
      <c r="C788" s="2"/>
      <c r="D788" s="1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ht="13.2" x14ac:dyDescent="0.25">
      <c r="A789" s="1"/>
      <c r="B789" s="1"/>
      <c r="C789" s="2"/>
      <c r="D789" s="1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ht="13.2" x14ac:dyDescent="0.25">
      <c r="A790" s="1"/>
      <c r="B790" s="1"/>
      <c r="C790" s="2"/>
      <c r="D790" s="1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ht="13.2" x14ac:dyDescent="0.25">
      <c r="A791" s="1"/>
      <c r="B791" s="1"/>
      <c r="C791" s="2"/>
      <c r="D791" s="1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ht="13.2" x14ac:dyDescent="0.25">
      <c r="A792" s="1"/>
      <c r="B792" s="1"/>
      <c r="C792" s="2"/>
      <c r="D792" s="1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ht="13.2" x14ac:dyDescent="0.25">
      <c r="A793" s="1"/>
      <c r="B793" s="1"/>
      <c r="C793" s="2"/>
      <c r="D793" s="1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ht="13.2" x14ac:dyDescent="0.25">
      <c r="A794" s="1"/>
      <c r="B794" s="1"/>
      <c r="C794" s="2"/>
      <c r="D794" s="1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ht="13.2" x14ac:dyDescent="0.25">
      <c r="A795" s="1"/>
      <c r="B795" s="1"/>
      <c r="C795" s="2"/>
      <c r="D795" s="1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ht="13.2" x14ac:dyDescent="0.25">
      <c r="A796" s="1"/>
      <c r="B796" s="1"/>
      <c r="C796" s="2"/>
      <c r="D796" s="1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ht="13.2" x14ac:dyDescent="0.25">
      <c r="A797" s="1"/>
      <c r="B797" s="1"/>
      <c r="C797" s="2"/>
      <c r="D797" s="1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ht="13.2" x14ac:dyDescent="0.25">
      <c r="A798" s="1"/>
      <c r="B798" s="1"/>
      <c r="C798" s="2"/>
      <c r="D798" s="1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ht="13.2" x14ac:dyDescent="0.25">
      <c r="A799" s="1"/>
      <c r="B799" s="1"/>
      <c r="C799" s="2"/>
      <c r="D799" s="1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ht="13.2" x14ac:dyDescent="0.25">
      <c r="A800" s="1"/>
      <c r="B800" s="1"/>
      <c r="C800" s="2"/>
      <c r="D800" s="1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ht="13.2" x14ac:dyDescent="0.25">
      <c r="A801" s="1"/>
      <c r="B801" s="1"/>
      <c r="C801" s="2"/>
      <c r="D801" s="1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ht="13.2" x14ac:dyDescent="0.25">
      <c r="A802" s="1"/>
      <c r="B802" s="1"/>
      <c r="C802" s="2"/>
      <c r="D802" s="1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ht="13.2" x14ac:dyDescent="0.25">
      <c r="A803" s="1"/>
      <c r="B803" s="1"/>
      <c r="C803" s="2"/>
      <c r="D803" s="1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ht="13.2" x14ac:dyDescent="0.25">
      <c r="A804" s="1"/>
      <c r="B804" s="1"/>
      <c r="C804" s="2"/>
      <c r="D804" s="1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ht="13.2" x14ac:dyDescent="0.25">
      <c r="A805" s="1"/>
      <c r="B805" s="1"/>
      <c r="C805" s="2"/>
      <c r="D805" s="1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ht="13.2" x14ac:dyDescent="0.25">
      <c r="A806" s="1"/>
      <c r="B806" s="1"/>
      <c r="C806" s="2"/>
      <c r="D806" s="1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ht="13.2" x14ac:dyDescent="0.25">
      <c r="A807" s="1"/>
      <c r="B807" s="1"/>
      <c r="C807" s="2"/>
      <c r="D807" s="1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ht="13.2" x14ac:dyDescent="0.25">
      <c r="A808" s="1"/>
      <c r="B808" s="1"/>
      <c r="C808" s="2"/>
      <c r="D808" s="1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ht="13.2" x14ac:dyDescent="0.25">
      <c r="A809" s="1"/>
      <c r="B809" s="1"/>
      <c r="C809" s="2"/>
      <c r="D809" s="1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ht="13.2" x14ac:dyDescent="0.25">
      <c r="A810" s="1"/>
      <c r="B810" s="1"/>
      <c r="C810" s="2"/>
      <c r="D810" s="1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ht="13.2" x14ac:dyDescent="0.25">
      <c r="A811" s="1"/>
      <c r="B811" s="1"/>
      <c r="C811" s="2"/>
      <c r="D811" s="1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ht="13.2" x14ac:dyDescent="0.25">
      <c r="A812" s="1"/>
      <c r="B812" s="1"/>
      <c r="C812" s="2"/>
      <c r="D812" s="1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ht="13.2" x14ac:dyDescent="0.25">
      <c r="A813" s="1"/>
      <c r="B813" s="1"/>
      <c r="C813" s="2"/>
      <c r="D813" s="1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ht="13.2" x14ac:dyDescent="0.25">
      <c r="A814" s="1"/>
      <c r="B814" s="1"/>
      <c r="C814" s="2"/>
      <c r="D814" s="1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ht="13.2" x14ac:dyDescent="0.25">
      <c r="A815" s="1"/>
      <c r="B815" s="1"/>
      <c r="C815" s="2"/>
      <c r="D815" s="1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ht="13.2" x14ac:dyDescent="0.25">
      <c r="A816" s="1"/>
      <c r="B816" s="1"/>
      <c r="C816" s="2"/>
      <c r="D816" s="1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ht="13.2" x14ac:dyDescent="0.25">
      <c r="A817" s="1"/>
      <c r="B817" s="1"/>
      <c r="C817" s="2"/>
      <c r="D817" s="1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ht="13.2" x14ac:dyDescent="0.25">
      <c r="A818" s="1"/>
      <c r="B818" s="1"/>
      <c r="C818" s="2"/>
      <c r="D818" s="1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ht="13.2" x14ac:dyDescent="0.25">
      <c r="A819" s="1"/>
      <c r="B819" s="1"/>
      <c r="C819" s="2"/>
      <c r="D819" s="1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ht="13.2" x14ac:dyDescent="0.25">
      <c r="A820" s="1"/>
      <c r="B820" s="1"/>
      <c r="C820" s="2"/>
      <c r="D820" s="1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ht="13.2" x14ac:dyDescent="0.25">
      <c r="A821" s="1"/>
      <c r="B821" s="1"/>
      <c r="C821" s="2"/>
      <c r="D821" s="1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ht="13.2" x14ac:dyDescent="0.25">
      <c r="A822" s="1"/>
      <c r="B822" s="1"/>
      <c r="C822" s="2"/>
      <c r="D822" s="1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ht="13.2" x14ac:dyDescent="0.25">
      <c r="A823" s="1"/>
      <c r="B823" s="1"/>
      <c r="C823" s="2"/>
      <c r="D823" s="1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ht="13.2" x14ac:dyDescent="0.25">
      <c r="A824" s="1"/>
      <c r="B824" s="1"/>
      <c r="C824" s="2"/>
      <c r="D824" s="1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ht="13.2" x14ac:dyDescent="0.25">
      <c r="A825" s="1"/>
      <c r="B825" s="1"/>
      <c r="C825" s="2"/>
      <c r="D825" s="1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ht="13.2" x14ac:dyDescent="0.25">
      <c r="A826" s="1"/>
      <c r="B826" s="1"/>
      <c r="C826" s="2"/>
      <c r="D826" s="1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ht="13.2" x14ac:dyDescent="0.25">
      <c r="A827" s="1"/>
      <c r="B827" s="1"/>
      <c r="C827" s="2"/>
      <c r="D827" s="1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ht="13.2" x14ac:dyDescent="0.25">
      <c r="A828" s="1"/>
      <c r="B828" s="1"/>
      <c r="C828" s="2"/>
      <c r="D828" s="1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ht="13.2" x14ac:dyDescent="0.25">
      <c r="A829" s="1"/>
      <c r="B829" s="1"/>
      <c r="C829" s="2"/>
      <c r="D829" s="1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ht="13.2" x14ac:dyDescent="0.25">
      <c r="A830" s="1"/>
      <c r="B830" s="1"/>
      <c r="C830" s="2"/>
      <c r="D830" s="1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ht="13.2" x14ac:dyDescent="0.25">
      <c r="A831" s="1"/>
      <c r="B831" s="1"/>
      <c r="C831" s="2"/>
      <c r="D831" s="1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ht="13.2" x14ac:dyDescent="0.25">
      <c r="A832" s="1"/>
      <c r="B832" s="1"/>
      <c r="C832" s="2"/>
      <c r="D832" s="1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ht="13.2" x14ac:dyDescent="0.25">
      <c r="A833" s="1"/>
      <c r="B833" s="1"/>
      <c r="C833" s="2"/>
      <c r="D833" s="1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ht="13.2" x14ac:dyDescent="0.25">
      <c r="A834" s="1"/>
      <c r="B834" s="1"/>
      <c r="C834" s="2"/>
      <c r="D834" s="1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ht="13.2" x14ac:dyDescent="0.25">
      <c r="A835" s="1"/>
      <c r="B835" s="1"/>
      <c r="C835" s="2"/>
      <c r="D835" s="1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ht="13.2" x14ac:dyDescent="0.25">
      <c r="A836" s="1"/>
      <c r="B836" s="1"/>
      <c r="C836" s="2"/>
      <c r="D836" s="1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ht="13.2" x14ac:dyDescent="0.25">
      <c r="A837" s="1"/>
      <c r="B837" s="1"/>
      <c r="C837" s="2"/>
      <c r="D837" s="1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ht="13.2" x14ac:dyDescent="0.25">
      <c r="A838" s="1"/>
      <c r="B838" s="1"/>
      <c r="C838" s="2"/>
      <c r="D838" s="1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ht="13.2" x14ac:dyDescent="0.25">
      <c r="A839" s="1"/>
      <c r="B839" s="1"/>
      <c r="C839" s="2"/>
      <c r="D839" s="1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ht="13.2" x14ac:dyDescent="0.25">
      <c r="A840" s="1"/>
      <c r="B840" s="1"/>
      <c r="C840" s="2"/>
      <c r="D840" s="1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ht="13.2" x14ac:dyDescent="0.25">
      <c r="A841" s="1"/>
      <c r="B841" s="1"/>
      <c r="C841" s="2"/>
      <c r="D841" s="1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ht="13.2" x14ac:dyDescent="0.25">
      <c r="A842" s="1"/>
      <c r="B842" s="1"/>
      <c r="C842" s="2"/>
      <c r="D842" s="1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ht="13.2" x14ac:dyDescent="0.25">
      <c r="A843" s="1"/>
      <c r="B843" s="1"/>
      <c r="C843" s="2"/>
      <c r="D843" s="1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ht="13.2" x14ac:dyDescent="0.25">
      <c r="A844" s="1"/>
      <c r="B844" s="1"/>
      <c r="C844" s="2"/>
      <c r="D844" s="1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ht="13.2" x14ac:dyDescent="0.25">
      <c r="A845" s="1"/>
      <c r="B845" s="1"/>
      <c r="C845" s="2"/>
      <c r="D845" s="1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ht="13.2" x14ac:dyDescent="0.25">
      <c r="A846" s="1"/>
      <c r="B846" s="1"/>
      <c r="C846" s="2"/>
      <c r="D846" s="1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ht="13.2" x14ac:dyDescent="0.25">
      <c r="A847" s="1"/>
      <c r="B847" s="1"/>
      <c r="C847" s="2"/>
      <c r="D847" s="1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ht="13.2" x14ac:dyDescent="0.25">
      <c r="A848" s="1"/>
      <c r="B848" s="1"/>
      <c r="C848" s="2"/>
      <c r="D848" s="1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ht="13.2" x14ac:dyDescent="0.25">
      <c r="A849" s="1"/>
      <c r="B849" s="1"/>
      <c r="C849" s="2"/>
      <c r="D849" s="1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ht="13.2" x14ac:dyDescent="0.25">
      <c r="A850" s="1"/>
      <c r="B850" s="1"/>
      <c r="C850" s="2"/>
      <c r="D850" s="1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ht="13.2" x14ac:dyDescent="0.25">
      <c r="A851" s="1"/>
      <c r="B851" s="1"/>
      <c r="C851" s="2"/>
      <c r="D851" s="1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ht="13.2" x14ac:dyDescent="0.25">
      <c r="A852" s="1"/>
      <c r="B852" s="1"/>
      <c r="C852" s="2"/>
      <c r="D852" s="1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ht="13.2" x14ac:dyDescent="0.25">
      <c r="A853" s="1"/>
      <c r="B853" s="1"/>
      <c r="C853" s="2"/>
      <c r="D853" s="1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ht="13.2" x14ac:dyDescent="0.25">
      <c r="A854" s="1"/>
      <c r="B854" s="1"/>
      <c r="C854" s="2"/>
      <c r="D854" s="1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ht="13.2" x14ac:dyDescent="0.25">
      <c r="A855" s="1"/>
      <c r="B855" s="1"/>
      <c r="C855" s="2"/>
      <c r="D855" s="1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ht="13.2" x14ac:dyDescent="0.25">
      <c r="A856" s="1"/>
      <c r="B856" s="1"/>
      <c r="C856" s="2"/>
      <c r="D856" s="1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ht="13.2" x14ac:dyDescent="0.25">
      <c r="A857" s="1"/>
      <c r="B857" s="1"/>
      <c r="C857" s="2"/>
      <c r="D857" s="1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ht="13.2" x14ac:dyDescent="0.25">
      <c r="A858" s="1"/>
      <c r="B858" s="1"/>
      <c r="C858" s="2"/>
      <c r="D858" s="1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ht="13.2" x14ac:dyDescent="0.25">
      <c r="A859" s="1"/>
      <c r="B859" s="1"/>
      <c r="C859" s="2"/>
      <c r="D859" s="1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ht="13.2" x14ac:dyDescent="0.25">
      <c r="A860" s="1"/>
      <c r="B860" s="1"/>
      <c r="C860" s="2"/>
      <c r="D860" s="1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ht="13.2" x14ac:dyDescent="0.25">
      <c r="A861" s="1"/>
      <c r="B861" s="1"/>
      <c r="C861" s="2"/>
      <c r="D861" s="1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ht="13.2" x14ac:dyDescent="0.25">
      <c r="A862" s="1"/>
      <c r="B862" s="1"/>
      <c r="C862" s="2"/>
      <c r="D862" s="1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ht="13.2" x14ac:dyDescent="0.25">
      <c r="A863" s="1"/>
      <c r="B863" s="1"/>
      <c r="C863" s="2"/>
      <c r="D863" s="1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ht="13.2" x14ac:dyDescent="0.25">
      <c r="A864" s="1"/>
      <c r="B864" s="1"/>
      <c r="C864" s="2"/>
      <c r="D864" s="1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ht="13.2" x14ac:dyDescent="0.25">
      <c r="A865" s="1"/>
      <c r="B865" s="1"/>
      <c r="C865" s="2"/>
      <c r="D865" s="1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ht="13.2" x14ac:dyDescent="0.25">
      <c r="A866" s="1"/>
      <c r="B866" s="1"/>
      <c r="C866" s="2"/>
      <c r="D866" s="1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ht="13.2" x14ac:dyDescent="0.25">
      <c r="A867" s="1"/>
      <c r="B867" s="1"/>
      <c r="C867" s="2"/>
      <c r="D867" s="1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ht="13.2" x14ac:dyDescent="0.25">
      <c r="A868" s="1"/>
      <c r="B868" s="1"/>
      <c r="C868" s="2"/>
      <c r="D868" s="1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ht="13.2" x14ac:dyDescent="0.25">
      <c r="A869" s="1"/>
      <c r="B869" s="1"/>
      <c r="C869" s="2"/>
      <c r="D869" s="1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ht="13.2" x14ac:dyDescent="0.25">
      <c r="A870" s="1"/>
      <c r="B870" s="1"/>
      <c r="C870" s="2"/>
      <c r="D870" s="1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ht="13.2" x14ac:dyDescent="0.25">
      <c r="A871" s="1"/>
      <c r="B871" s="1"/>
      <c r="C871" s="2"/>
      <c r="D871" s="1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ht="13.2" x14ac:dyDescent="0.25">
      <c r="A872" s="1"/>
      <c r="B872" s="1"/>
      <c r="C872" s="2"/>
      <c r="D872" s="1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ht="13.2" x14ac:dyDescent="0.25">
      <c r="A873" s="1"/>
      <c r="B873" s="1"/>
      <c r="C873" s="2"/>
      <c r="D873" s="1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ht="13.2" x14ac:dyDescent="0.25">
      <c r="A874" s="1"/>
      <c r="B874" s="1"/>
      <c r="C874" s="2"/>
      <c r="D874" s="1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ht="13.2" x14ac:dyDescent="0.25">
      <c r="A875" s="1"/>
      <c r="B875" s="1"/>
      <c r="C875" s="2"/>
      <c r="D875" s="1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ht="13.2" x14ac:dyDescent="0.25">
      <c r="A876" s="1"/>
      <c r="B876" s="1"/>
      <c r="C876" s="2"/>
      <c r="D876" s="1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ht="13.2" x14ac:dyDescent="0.25">
      <c r="A877" s="1"/>
      <c r="B877" s="1"/>
      <c r="C877" s="2"/>
      <c r="D877" s="1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ht="13.2" x14ac:dyDescent="0.25">
      <c r="A878" s="1"/>
      <c r="B878" s="1"/>
      <c r="C878" s="2"/>
      <c r="D878" s="1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ht="13.2" x14ac:dyDescent="0.25">
      <c r="A879" s="1"/>
      <c r="B879" s="1"/>
      <c r="C879" s="2"/>
      <c r="D879" s="1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ht="13.2" x14ac:dyDescent="0.25">
      <c r="A880" s="1"/>
      <c r="B880" s="1"/>
      <c r="C880" s="2"/>
      <c r="D880" s="1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ht="13.2" x14ac:dyDescent="0.25">
      <c r="A881" s="1"/>
      <c r="B881" s="1"/>
      <c r="C881" s="2"/>
      <c r="D881" s="1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ht="13.2" x14ac:dyDescent="0.25">
      <c r="A882" s="1"/>
      <c r="B882" s="1"/>
      <c r="C882" s="2"/>
      <c r="D882" s="1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ht="13.2" x14ac:dyDescent="0.25">
      <c r="A883" s="1"/>
      <c r="B883" s="1"/>
      <c r="C883" s="2"/>
      <c r="D883" s="1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ht="13.2" x14ac:dyDescent="0.25">
      <c r="A884" s="1"/>
      <c r="B884" s="1"/>
      <c r="C884" s="2"/>
      <c r="D884" s="1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ht="13.2" x14ac:dyDescent="0.25">
      <c r="A885" s="1"/>
      <c r="B885" s="1"/>
      <c r="C885" s="2"/>
      <c r="D885" s="1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ht="13.2" x14ac:dyDescent="0.25">
      <c r="A886" s="1"/>
      <c r="B886" s="1"/>
      <c r="C886" s="2"/>
      <c r="D886" s="1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ht="13.2" x14ac:dyDescent="0.25">
      <c r="A887" s="1"/>
      <c r="B887" s="1"/>
      <c r="C887" s="2"/>
      <c r="D887" s="1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ht="13.2" x14ac:dyDescent="0.25">
      <c r="A888" s="1"/>
      <c r="B888" s="1"/>
      <c r="C888" s="2"/>
      <c r="D888" s="1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ht="13.2" x14ac:dyDescent="0.25">
      <c r="A889" s="1"/>
      <c r="B889" s="1"/>
      <c r="C889" s="2"/>
      <c r="D889" s="1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ht="13.2" x14ac:dyDescent="0.25">
      <c r="A890" s="1"/>
      <c r="B890" s="1"/>
      <c r="C890" s="2"/>
      <c r="D890" s="1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ht="13.2" x14ac:dyDescent="0.25">
      <c r="A891" s="1"/>
      <c r="B891" s="1"/>
      <c r="C891" s="2"/>
      <c r="D891" s="1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ht="13.2" x14ac:dyDescent="0.25">
      <c r="A892" s="1"/>
      <c r="B892" s="1"/>
      <c r="C892" s="2"/>
      <c r="D892" s="1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ht="13.2" x14ac:dyDescent="0.25">
      <c r="A893" s="1"/>
      <c r="B893" s="1"/>
      <c r="C893" s="2"/>
      <c r="D893" s="1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ht="13.2" x14ac:dyDescent="0.25">
      <c r="A894" s="1"/>
      <c r="B894" s="1"/>
      <c r="C894" s="2"/>
      <c r="D894" s="1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ht="13.2" x14ac:dyDescent="0.25">
      <c r="A895" s="1"/>
      <c r="B895" s="1"/>
      <c r="C895" s="2"/>
      <c r="D895" s="1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ht="13.2" x14ac:dyDescent="0.25">
      <c r="A896" s="1"/>
      <c r="B896" s="1"/>
      <c r="C896" s="2"/>
      <c r="D896" s="1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ht="13.2" x14ac:dyDescent="0.25">
      <c r="A897" s="1"/>
      <c r="B897" s="1"/>
      <c r="C897" s="2"/>
      <c r="D897" s="1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ht="13.2" x14ac:dyDescent="0.25">
      <c r="A898" s="1"/>
      <c r="B898" s="1"/>
      <c r="C898" s="2"/>
      <c r="D898" s="1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ht="13.2" x14ac:dyDescent="0.25">
      <c r="A899" s="1"/>
      <c r="B899" s="1"/>
      <c r="C899" s="2"/>
      <c r="D899" s="1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ht="13.2" x14ac:dyDescent="0.25">
      <c r="A900" s="1"/>
      <c r="B900" s="1"/>
      <c r="C900" s="2"/>
      <c r="D900" s="1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ht="13.2" x14ac:dyDescent="0.25">
      <c r="A901" s="1"/>
      <c r="B901" s="1"/>
      <c r="C901" s="2"/>
      <c r="D901" s="1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ht="13.2" x14ac:dyDescent="0.25">
      <c r="A902" s="1"/>
      <c r="B902" s="1"/>
      <c r="C902" s="2"/>
      <c r="D902" s="1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ht="13.2" x14ac:dyDescent="0.25">
      <c r="A903" s="1"/>
      <c r="B903" s="1"/>
      <c r="C903" s="2"/>
      <c r="D903" s="1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ht="13.2" x14ac:dyDescent="0.25">
      <c r="A904" s="1"/>
      <c r="B904" s="1"/>
      <c r="C904" s="2"/>
      <c r="D904" s="1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ht="13.2" x14ac:dyDescent="0.25">
      <c r="A905" s="1"/>
      <c r="B905" s="1"/>
      <c r="C905" s="2"/>
      <c r="D905" s="1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ht="13.2" x14ac:dyDescent="0.25">
      <c r="A906" s="1"/>
      <c r="B906" s="1"/>
      <c r="C906" s="2"/>
      <c r="D906" s="1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ht="13.2" x14ac:dyDescent="0.25">
      <c r="A907" s="1"/>
      <c r="B907" s="1"/>
      <c r="C907" s="2"/>
      <c r="D907" s="1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ht="13.2" x14ac:dyDescent="0.25">
      <c r="A908" s="1"/>
      <c r="B908" s="1"/>
      <c r="C908" s="2"/>
      <c r="D908" s="1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ht="13.2" x14ac:dyDescent="0.25">
      <c r="A909" s="1"/>
      <c r="B909" s="1"/>
      <c r="C909" s="2"/>
      <c r="D909" s="1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ht="13.2" x14ac:dyDescent="0.25">
      <c r="A910" s="1"/>
      <c r="B910" s="1"/>
      <c r="C910" s="2"/>
      <c r="D910" s="1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ht="13.2" x14ac:dyDescent="0.25">
      <c r="A911" s="1"/>
      <c r="B911" s="1"/>
      <c r="C911" s="2"/>
      <c r="D911" s="1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ht="13.2" x14ac:dyDescent="0.25">
      <c r="A912" s="1"/>
      <c r="B912" s="1"/>
      <c r="C912" s="2"/>
      <c r="D912" s="1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ht="13.2" x14ac:dyDescent="0.25">
      <c r="A913" s="1"/>
      <c r="B913" s="1"/>
      <c r="C913" s="2"/>
      <c r="D913" s="1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ht="13.2" x14ac:dyDescent="0.25">
      <c r="A914" s="1"/>
      <c r="B914" s="1"/>
      <c r="C914" s="2"/>
      <c r="D914" s="1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ht="13.2" x14ac:dyDescent="0.25">
      <c r="A915" s="1"/>
      <c r="B915" s="1"/>
      <c r="C915" s="2"/>
      <c r="D915" s="1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ht="13.2" x14ac:dyDescent="0.25">
      <c r="A916" s="1"/>
      <c r="B916" s="1"/>
      <c r="C916" s="2"/>
      <c r="D916" s="1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ht="13.2" x14ac:dyDescent="0.25">
      <c r="A917" s="1"/>
      <c r="B917" s="1"/>
      <c r="C917" s="2"/>
      <c r="D917" s="1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ht="13.2" x14ac:dyDescent="0.25">
      <c r="A918" s="1"/>
      <c r="B918" s="1"/>
      <c r="C918" s="2"/>
      <c r="D918" s="1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ht="13.2" x14ac:dyDescent="0.25">
      <c r="A919" s="1"/>
      <c r="B919" s="1"/>
      <c r="C919" s="2"/>
      <c r="D919" s="1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ht="13.2" x14ac:dyDescent="0.25">
      <c r="A920" s="1"/>
      <c r="B920" s="1"/>
      <c r="C920" s="2"/>
      <c r="D920" s="1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ht="13.2" x14ac:dyDescent="0.25">
      <c r="A921" s="1"/>
      <c r="B921" s="1"/>
      <c r="C921" s="2"/>
      <c r="D921" s="1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ht="13.2" x14ac:dyDescent="0.25">
      <c r="A922" s="1"/>
      <c r="B922" s="1"/>
      <c r="C922" s="2"/>
      <c r="D922" s="1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ht="13.2" x14ac:dyDescent="0.25">
      <c r="A923" s="1"/>
      <c r="B923" s="1"/>
      <c r="C923" s="2"/>
      <c r="D923" s="1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ht="13.2" x14ac:dyDescent="0.25">
      <c r="A924" s="1"/>
      <c r="B924" s="1"/>
      <c r="C924" s="2"/>
      <c r="D924" s="1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ht="13.2" x14ac:dyDescent="0.25">
      <c r="A925" s="1"/>
      <c r="B925" s="1"/>
      <c r="C925" s="2"/>
      <c r="D925" s="1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ht="13.2" x14ac:dyDescent="0.25">
      <c r="A926" s="1"/>
      <c r="B926" s="1"/>
      <c r="C926" s="2"/>
      <c r="D926" s="1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ht="13.2" x14ac:dyDescent="0.25">
      <c r="A927" s="1"/>
      <c r="B927" s="1"/>
      <c r="C927" s="2"/>
      <c r="D927" s="1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ht="13.2" x14ac:dyDescent="0.25">
      <c r="A928" s="1"/>
      <c r="B928" s="1"/>
      <c r="C928" s="2"/>
      <c r="D928" s="1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ht="13.2" x14ac:dyDescent="0.25">
      <c r="A929" s="1"/>
      <c r="B929" s="1"/>
      <c r="C929" s="2"/>
      <c r="D929" s="1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ht="13.2" x14ac:dyDescent="0.25">
      <c r="A930" s="1"/>
      <c r="B930" s="1"/>
      <c r="C930" s="2"/>
      <c r="D930" s="1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ht="13.2" x14ac:dyDescent="0.25">
      <c r="A931" s="1"/>
      <c r="B931" s="1"/>
      <c r="C931" s="2"/>
      <c r="D931" s="1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ht="13.2" x14ac:dyDescent="0.25">
      <c r="A932" s="1"/>
      <c r="B932" s="1"/>
      <c r="C932" s="2"/>
      <c r="D932" s="1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ht="13.2" x14ac:dyDescent="0.25">
      <c r="A933" s="1"/>
      <c r="B933" s="1"/>
      <c r="C933" s="2"/>
      <c r="D933" s="1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ht="13.2" x14ac:dyDescent="0.25">
      <c r="A934" s="1"/>
      <c r="B934" s="1"/>
      <c r="C934" s="2"/>
      <c r="D934" s="1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ht="13.2" x14ac:dyDescent="0.25">
      <c r="A935" s="1"/>
      <c r="B935" s="1"/>
      <c r="C935" s="2"/>
      <c r="D935" s="1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ht="13.2" x14ac:dyDescent="0.25">
      <c r="A936" s="1"/>
      <c r="B936" s="1"/>
      <c r="C936" s="2"/>
      <c r="D936" s="1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ht="13.2" x14ac:dyDescent="0.25">
      <c r="A937" s="1"/>
      <c r="B937" s="1"/>
      <c r="C937" s="2"/>
      <c r="D937" s="1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ht="13.2" x14ac:dyDescent="0.25">
      <c r="A938" s="1"/>
      <c r="B938" s="1"/>
      <c r="C938" s="2"/>
      <c r="D938" s="1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ht="13.2" x14ac:dyDescent="0.25">
      <c r="A939" s="1"/>
      <c r="B939" s="1"/>
      <c r="C939" s="2"/>
      <c r="D939" s="1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ht="13.2" x14ac:dyDescent="0.25">
      <c r="A940" s="1"/>
      <c r="B940" s="1"/>
      <c r="C940" s="2"/>
      <c r="D940" s="1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ht="13.2" x14ac:dyDescent="0.25">
      <c r="A941" s="1"/>
      <c r="B941" s="1"/>
      <c r="C941" s="2"/>
      <c r="D941" s="1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ht="13.2" x14ac:dyDescent="0.25">
      <c r="A942" s="1"/>
      <c r="B942" s="1"/>
      <c r="C942" s="2"/>
      <c r="D942" s="1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ht="13.2" x14ac:dyDescent="0.25">
      <c r="A943" s="1"/>
      <c r="B943" s="1"/>
      <c r="C943" s="2"/>
      <c r="D943" s="1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ht="13.2" x14ac:dyDescent="0.25">
      <c r="A944" s="1"/>
      <c r="B944" s="1"/>
      <c r="C944" s="2"/>
      <c r="D944" s="1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ht="13.2" x14ac:dyDescent="0.25">
      <c r="A945" s="1"/>
      <c r="B945" s="1"/>
      <c r="C945" s="2"/>
      <c r="D945" s="1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ht="13.2" x14ac:dyDescent="0.25">
      <c r="A946" s="1"/>
      <c r="B946" s="1"/>
      <c r="C946" s="2"/>
      <c r="D946" s="1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ht="13.2" x14ac:dyDescent="0.25">
      <c r="A947" s="1"/>
      <c r="B947" s="1"/>
      <c r="C947" s="2"/>
      <c r="D947" s="1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ht="13.2" x14ac:dyDescent="0.25">
      <c r="A948" s="1"/>
      <c r="B948" s="1"/>
      <c r="C948" s="2"/>
      <c r="D948" s="1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ht="13.2" x14ac:dyDescent="0.25">
      <c r="A949" s="1"/>
      <c r="B949" s="1"/>
      <c r="C949" s="2"/>
      <c r="D949" s="1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ht="13.2" x14ac:dyDescent="0.25">
      <c r="A950" s="1"/>
      <c r="B950" s="1"/>
      <c r="C950" s="2"/>
      <c r="D950" s="1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ht="13.2" x14ac:dyDescent="0.25">
      <c r="A951" s="1"/>
      <c r="B951" s="1"/>
      <c r="C951" s="2"/>
      <c r="D951" s="1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ht="13.2" x14ac:dyDescent="0.25">
      <c r="A952" s="1"/>
      <c r="B952" s="1"/>
      <c r="C952" s="2"/>
      <c r="D952" s="1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ht="13.2" x14ac:dyDescent="0.25">
      <c r="A953" s="1"/>
      <c r="B953" s="1"/>
      <c r="C953" s="2"/>
      <c r="D953" s="1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ht="13.2" x14ac:dyDescent="0.25">
      <c r="A954" s="1"/>
      <c r="B954" s="1"/>
      <c r="C954" s="2"/>
      <c r="D954" s="1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ht="13.2" x14ac:dyDescent="0.25">
      <c r="A955" s="1"/>
      <c r="B955" s="1"/>
      <c r="C955" s="2"/>
      <c r="D955" s="1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ht="13.2" x14ac:dyDescent="0.25">
      <c r="A956" s="1"/>
      <c r="B956" s="1"/>
      <c r="C956" s="2"/>
      <c r="D956" s="1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ht="13.2" x14ac:dyDescent="0.25">
      <c r="A957" s="1"/>
      <c r="B957" s="1"/>
      <c r="C957" s="2"/>
      <c r="D957" s="1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ht="13.2" x14ac:dyDescent="0.25">
      <c r="A958" s="1"/>
      <c r="B958" s="1"/>
      <c r="C958" s="2"/>
      <c r="D958" s="1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ht="13.2" x14ac:dyDescent="0.25">
      <c r="A959" s="1"/>
      <c r="B959" s="1"/>
      <c r="C959" s="2"/>
      <c r="D959" s="1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ht="13.2" x14ac:dyDescent="0.25">
      <c r="A960" s="1"/>
      <c r="B960" s="1"/>
      <c r="C960" s="2"/>
      <c r="D960" s="1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ht="13.2" x14ac:dyDescent="0.25">
      <c r="A961" s="1"/>
      <c r="B961" s="1"/>
      <c r="C961" s="2"/>
      <c r="D961" s="1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ht="13.2" x14ac:dyDescent="0.25">
      <c r="A962" s="1"/>
      <c r="B962" s="1"/>
      <c r="C962" s="2"/>
      <c r="D962" s="1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ht="13.2" x14ac:dyDescent="0.25">
      <c r="A963" s="1"/>
      <c r="B963" s="1"/>
      <c r="C963" s="2"/>
      <c r="D963" s="1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ht="13.2" x14ac:dyDescent="0.25">
      <c r="A964" s="1"/>
      <c r="B964" s="1"/>
      <c r="C964" s="2"/>
      <c r="D964" s="1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ht="13.2" x14ac:dyDescent="0.25">
      <c r="A965" s="1"/>
      <c r="B965" s="1"/>
      <c r="C965" s="2"/>
      <c r="D965" s="1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ht="13.2" x14ac:dyDescent="0.25">
      <c r="A966" s="1"/>
      <c r="B966" s="1"/>
      <c r="C966" s="2"/>
      <c r="D966" s="1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ht="13.2" x14ac:dyDescent="0.25">
      <c r="A967" s="1"/>
      <c r="B967" s="1"/>
      <c r="C967" s="2"/>
      <c r="D967" s="1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ht="13.2" x14ac:dyDescent="0.25">
      <c r="A968" s="1"/>
      <c r="B968" s="1"/>
      <c r="C968" s="2"/>
      <c r="D968" s="1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ht="13.2" x14ac:dyDescent="0.25">
      <c r="A969" s="1"/>
      <c r="B969" s="1"/>
      <c r="C969" s="2"/>
      <c r="D969" s="1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ht="13.2" x14ac:dyDescent="0.25">
      <c r="A970" s="1"/>
      <c r="B970" s="1"/>
      <c r="C970" s="2"/>
      <c r="D970" s="1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ht="13.2" x14ac:dyDescent="0.25">
      <c r="A971" s="1"/>
      <c r="B971" s="1"/>
      <c r="C971" s="2"/>
      <c r="D971" s="1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ht="13.2" x14ac:dyDescent="0.25">
      <c r="A972" s="1"/>
      <c r="B972" s="1"/>
      <c r="C972" s="2"/>
      <c r="D972" s="1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ht="13.2" x14ac:dyDescent="0.25">
      <c r="A973" s="1"/>
      <c r="B973" s="1"/>
      <c r="C973" s="2"/>
      <c r="D973" s="1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ht="13.2" x14ac:dyDescent="0.25">
      <c r="A974" s="1"/>
      <c r="B974" s="1"/>
      <c r="C974" s="2"/>
      <c r="D974" s="1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ht="13.2" x14ac:dyDescent="0.25">
      <c r="A975" s="1"/>
      <c r="B975" s="1"/>
      <c r="C975" s="2"/>
      <c r="D975" s="1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ht="13.2" x14ac:dyDescent="0.25">
      <c r="A976" s="1"/>
      <c r="B976" s="1"/>
      <c r="C976" s="2"/>
      <c r="D976" s="1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ht="13.2" x14ac:dyDescent="0.25">
      <c r="A977" s="1"/>
      <c r="B977" s="1"/>
      <c r="C977" s="2"/>
      <c r="D977" s="1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ht="13.2" x14ac:dyDescent="0.25">
      <c r="A978" s="1"/>
      <c r="B978" s="1"/>
      <c r="C978" s="2"/>
      <c r="D978" s="1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ht="13.2" x14ac:dyDescent="0.25">
      <c r="A979" s="1"/>
      <c r="B979" s="1"/>
      <c r="C979" s="2"/>
      <c r="D979" s="1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ht="13.2" x14ac:dyDescent="0.25">
      <c r="A980" s="1"/>
      <c r="B980" s="1"/>
      <c r="C980" s="2"/>
      <c r="D980" s="1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ht="13.2" x14ac:dyDescent="0.25">
      <c r="A981" s="1"/>
      <c r="B981" s="1"/>
      <c r="C981" s="2"/>
      <c r="D981" s="1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ht="13.2" x14ac:dyDescent="0.25">
      <c r="A982" s="1"/>
      <c r="B982" s="1"/>
      <c r="C982" s="2"/>
      <c r="D982" s="1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ht="13.2" x14ac:dyDescent="0.25">
      <c r="A983" s="1"/>
      <c r="B983" s="1"/>
      <c r="C983" s="2"/>
      <c r="D983" s="1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ht="13.2" x14ac:dyDescent="0.25">
      <c r="A984" s="1"/>
      <c r="B984" s="1"/>
      <c r="C984" s="2"/>
      <c r="D984" s="1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ht="13.2" x14ac:dyDescent="0.25">
      <c r="A985" s="1"/>
      <c r="B985" s="1"/>
      <c r="C985" s="2"/>
      <c r="D985" s="1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ht="13.2" x14ac:dyDescent="0.25">
      <c r="A986" s="1"/>
      <c r="B986" s="1"/>
      <c r="C986" s="2"/>
      <c r="D986" s="1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ht="13.2" x14ac:dyDescent="0.25">
      <c r="A987" s="1"/>
      <c r="B987" s="1"/>
      <c r="C987" s="2"/>
      <c r="D987" s="1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ht="13.2" x14ac:dyDescent="0.25">
      <c r="A988" s="1"/>
      <c r="B988" s="1"/>
      <c r="C988" s="2"/>
      <c r="D988" s="1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ht="13.2" x14ac:dyDescent="0.25">
      <c r="A989" s="1"/>
      <c r="B989" s="1"/>
      <c r="C989" s="2"/>
      <c r="D989" s="1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ht="13.2" x14ac:dyDescent="0.25">
      <c r="A990" s="1"/>
      <c r="B990" s="1"/>
      <c r="C990" s="2"/>
      <c r="D990" s="1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ht="13.2" x14ac:dyDescent="0.25">
      <c r="A991" s="1"/>
      <c r="B991" s="1"/>
      <c r="C991" s="2"/>
      <c r="D991" s="1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ht="13.2" x14ac:dyDescent="0.25">
      <c r="A992" s="1"/>
      <c r="B992" s="1"/>
      <c r="C992" s="2"/>
      <c r="D992" s="1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ht="13.2" x14ac:dyDescent="0.25">
      <c r="A993" s="1"/>
      <c r="B993" s="1"/>
      <c r="C993" s="2"/>
      <c r="D993" s="1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ht="13.2" x14ac:dyDescent="0.25">
      <c r="A994" s="1"/>
      <c r="B994" s="1"/>
      <c r="C994" s="2"/>
      <c r="D994" s="1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ht="13.2" x14ac:dyDescent="0.25">
      <c r="A995" s="1"/>
      <c r="B995" s="1"/>
      <c r="C995" s="2"/>
      <c r="D995" s="1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ht="13.2" x14ac:dyDescent="0.25">
      <c r="A996" s="1"/>
      <c r="B996" s="1"/>
      <c r="C996" s="2"/>
      <c r="D996" s="1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ht="13.2" x14ac:dyDescent="0.25">
      <c r="A997" s="1"/>
      <c r="B997" s="1"/>
      <c r="C997" s="2"/>
      <c r="D997" s="1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ht="13.2" x14ac:dyDescent="0.25">
      <c r="A998" s="1"/>
      <c r="B998" s="1"/>
      <c r="C998" s="2"/>
      <c r="D998" s="1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ht="13.2" x14ac:dyDescent="0.25">
      <c r="A999" s="1"/>
      <c r="B999" s="1"/>
      <c r="C999" s="2"/>
      <c r="D999" s="1"/>
      <c r="E999" s="3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ht="13.2" x14ac:dyDescent="0.25">
      <c r="A1000" s="1"/>
      <c r="B1000" s="1"/>
      <c r="C1000" s="2"/>
      <c r="D1000" s="1"/>
      <c r="E1000" s="3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 spans="1:20" ht="13.2" x14ac:dyDescent="0.25">
      <c r="A1001" s="1"/>
      <c r="B1001" s="1"/>
      <c r="C1001" s="2"/>
      <c r="D1001" s="1"/>
      <c r="E1001" s="3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 spans="1:20" ht="13.2" x14ac:dyDescent="0.25">
      <c r="A1002" s="1"/>
      <c r="B1002" s="1"/>
      <c r="C1002" s="2"/>
      <c r="D1002" s="1"/>
      <c r="E1002" s="3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 spans="1:20" ht="13.2" x14ac:dyDescent="0.25">
      <c r="A1003" s="1"/>
      <c r="B1003" s="1"/>
      <c r="C1003" s="2"/>
      <c r="D1003" s="1"/>
      <c r="E1003" s="3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 spans="1:20" ht="13.2" x14ac:dyDescent="0.25">
      <c r="A1004" s="1"/>
      <c r="B1004" s="1"/>
      <c r="C1004" s="2"/>
      <c r="D1004" s="1"/>
      <c r="E1004" s="3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  <row r="1005" spans="1:20" ht="13.2" x14ac:dyDescent="0.25">
      <c r="A1005" s="1"/>
      <c r="B1005" s="1"/>
      <c r="C1005" s="2"/>
      <c r="D1005" s="1"/>
      <c r="E1005" s="3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</row>
    <row r="1006" spans="1:20" ht="13.2" x14ac:dyDescent="0.25">
      <c r="A1006" s="1"/>
      <c r="B1006" s="1"/>
      <c r="C1006" s="2"/>
      <c r="D1006" s="1"/>
      <c r="E1006" s="3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</row>
    <row r="1007" spans="1:20" ht="13.2" x14ac:dyDescent="0.25">
      <c r="A1007" s="1"/>
      <c r="B1007" s="1"/>
      <c r="C1007" s="2"/>
      <c r="D1007" s="1"/>
      <c r="E1007" s="3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</row>
    <row r="1008" spans="1:20" ht="13.2" x14ac:dyDescent="0.25">
      <c r="A1008" s="1"/>
      <c r="B1008" s="1"/>
      <c r="C1008" s="2"/>
      <c r="D1008" s="1"/>
      <c r="E1008" s="3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</row>
    <row r="1009" spans="1:20" ht="13.2" x14ac:dyDescent="0.25">
      <c r="A1009" s="1"/>
      <c r="B1009" s="1"/>
      <c r="C1009" s="2"/>
      <c r="D1009" s="1"/>
      <c r="E1009" s="3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</row>
    <row r="1010" spans="1:20" ht="13.2" x14ac:dyDescent="0.25">
      <c r="A1010" s="1"/>
      <c r="B1010" s="1"/>
      <c r="C1010" s="2"/>
      <c r="D1010" s="1"/>
      <c r="E1010" s="3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</row>
    <row r="1011" spans="1:20" ht="13.2" x14ac:dyDescent="0.25">
      <c r="A1011" s="1"/>
      <c r="B1011" s="1"/>
      <c r="C1011" s="2"/>
      <c r="D1011" s="1"/>
      <c r="E1011" s="3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</row>
    <row r="1012" spans="1:20" ht="13.2" x14ac:dyDescent="0.25">
      <c r="A1012" s="1"/>
      <c r="B1012" s="1"/>
      <c r="C1012" s="2"/>
      <c r="D1012" s="1"/>
      <c r="E1012" s="3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</row>
    <row r="1013" spans="1:20" ht="13.2" x14ac:dyDescent="0.25">
      <c r="A1013" s="1"/>
      <c r="B1013" s="1"/>
      <c r="C1013" s="2"/>
      <c r="D1013" s="1"/>
      <c r="E1013" s="3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</row>
    <row r="1014" spans="1:20" ht="13.2" x14ac:dyDescent="0.25">
      <c r="A1014" s="1"/>
      <c r="B1014" s="1"/>
      <c r="C1014" s="2"/>
      <c r="D1014" s="1"/>
      <c r="E1014" s="3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</row>
    <row r="1015" spans="1:20" ht="13.2" x14ac:dyDescent="0.25">
      <c r="A1015" s="1"/>
      <c r="B1015" s="1"/>
      <c r="C1015" s="2"/>
      <c r="D1015" s="1"/>
      <c r="E1015" s="3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</row>
    <row r="1016" spans="1:20" ht="13.2" x14ac:dyDescent="0.25">
      <c r="A1016" s="1"/>
      <c r="B1016" s="1"/>
      <c r="C1016" s="2"/>
      <c r="D1016" s="1"/>
      <c r="E1016" s="3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</row>
    <row r="1017" spans="1:20" ht="13.2" x14ac:dyDescent="0.25">
      <c r="A1017" s="1"/>
      <c r="B1017" s="1"/>
      <c r="C1017" s="2"/>
      <c r="D1017" s="1"/>
      <c r="E1017" s="3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</row>
    <row r="1018" spans="1:20" ht="13.2" x14ac:dyDescent="0.25">
      <c r="A1018" s="1"/>
      <c r="B1018" s="1"/>
      <c r="C1018" s="2"/>
      <c r="D1018" s="1"/>
      <c r="E1018" s="3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</row>
    <row r="1019" spans="1:20" ht="13.2" x14ac:dyDescent="0.25">
      <c r="A1019" s="1"/>
      <c r="B1019" s="1"/>
      <c r="C1019" s="2"/>
      <c r="D1019" s="1"/>
      <c r="E1019" s="3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</row>
    <row r="1020" spans="1:20" ht="13.2" x14ac:dyDescent="0.25">
      <c r="A1020" s="1"/>
      <c r="B1020" s="1"/>
      <c r="C1020" s="2"/>
      <c r="D1020" s="1"/>
      <c r="E1020" s="3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</row>
    <row r="1021" spans="1:20" ht="13.2" x14ac:dyDescent="0.25">
      <c r="A1021" s="1"/>
      <c r="B1021" s="1"/>
      <c r="C1021" s="2"/>
      <c r="D1021" s="1"/>
      <c r="E1021" s="3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</row>
    <row r="1022" spans="1:20" ht="13.2" x14ac:dyDescent="0.25">
      <c r="A1022" s="1"/>
      <c r="B1022" s="1"/>
      <c r="C1022" s="2"/>
      <c r="D1022" s="1"/>
      <c r="E1022" s="3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</row>
    <row r="1023" spans="1:20" ht="13.2" x14ac:dyDescent="0.25">
      <c r="A1023" s="1"/>
      <c r="B1023" s="1"/>
      <c r="C1023" s="2"/>
      <c r="D1023" s="1"/>
      <c r="E1023" s="3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</row>
    <row r="1024" spans="1:20" ht="13.2" x14ac:dyDescent="0.25">
      <c r="A1024" s="1"/>
      <c r="B1024" s="1"/>
      <c r="C1024" s="2"/>
      <c r="D1024" s="1"/>
      <c r="E1024" s="3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</row>
    <row r="1025" spans="1:20" ht="13.2" x14ac:dyDescent="0.25">
      <c r="A1025" s="1"/>
      <c r="B1025" s="1"/>
      <c r="C1025" s="2"/>
      <c r="D1025" s="1"/>
      <c r="E1025" s="3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</row>
    <row r="1026" spans="1:20" ht="13.2" x14ac:dyDescent="0.25">
      <c r="A1026" s="1"/>
      <c r="B1026" s="1"/>
      <c r="C1026" s="2"/>
      <c r="D1026" s="1"/>
      <c r="E1026" s="3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</row>
    <row r="1027" spans="1:20" ht="13.2" x14ac:dyDescent="0.25">
      <c r="A1027" s="1"/>
      <c r="B1027" s="1"/>
      <c r="C1027" s="2"/>
      <c r="D1027" s="1"/>
      <c r="E1027" s="3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</row>
    <row r="1028" spans="1:20" ht="13.2" x14ac:dyDescent="0.25">
      <c r="A1028" s="1"/>
      <c r="B1028" s="1"/>
      <c r="C1028" s="2"/>
      <c r="D1028" s="1"/>
      <c r="E1028" s="3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</row>
    <row r="1029" spans="1:20" ht="13.2" x14ac:dyDescent="0.25">
      <c r="A1029" s="1"/>
      <c r="B1029" s="1"/>
      <c r="C1029" s="2"/>
      <c r="D1029" s="1"/>
      <c r="E1029" s="3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</row>
    <row r="1030" spans="1:20" ht="13.2" x14ac:dyDescent="0.25">
      <c r="A1030" s="1"/>
      <c r="B1030" s="1"/>
      <c r="C1030" s="2"/>
      <c r="D1030" s="1"/>
      <c r="E1030" s="3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</row>
  </sheetData>
  <mergeCells count="3">
    <mergeCell ref="F2:F4"/>
    <mergeCell ref="A5:F5"/>
    <mergeCell ref="D101:F10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M49"/>
  <sheetViews>
    <sheetView workbookViewId="0"/>
  </sheetViews>
  <sheetFormatPr defaultColWidth="12.6640625" defaultRowHeight="15.75" customHeight="1" x14ac:dyDescent="0.25"/>
  <cols>
    <col min="1" max="1" width="3.21875" customWidth="1"/>
    <col min="2" max="2" width="18.33203125" customWidth="1"/>
    <col min="5" max="5" width="11.44140625" customWidth="1"/>
    <col min="6" max="6" width="14.109375" customWidth="1"/>
    <col min="7" max="7" width="13.21875" customWidth="1"/>
    <col min="8" max="8" width="11.88671875" customWidth="1"/>
    <col min="9" max="9" width="12.6640625" customWidth="1"/>
    <col min="10" max="10" width="18.77734375" customWidth="1"/>
    <col min="11" max="11" width="11.88671875" customWidth="1"/>
    <col min="12" max="12" width="16.44140625" customWidth="1"/>
  </cols>
  <sheetData>
    <row r="1" spans="2:13" x14ac:dyDescent="0.25">
      <c r="B1" s="263" t="s">
        <v>179</v>
      </c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</row>
    <row r="2" spans="2:13" x14ac:dyDescent="0.25">
      <c r="B2" s="55"/>
      <c r="C2" s="260" t="s">
        <v>180</v>
      </c>
      <c r="D2" s="262"/>
      <c r="E2" s="261"/>
      <c r="F2" s="260" t="s">
        <v>181</v>
      </c>
      <c r="G2" s="262"/>
      <c r="H2" s="261"/>
      <c r="I2" s="260" t="s">
        <v>182</v>
      </c>
      <c r="J2" s="262"/>
      <c r="K2" s="261"/>
      <c r="L2" s="260" t="s">
        <v>183</v>
      </c>
      <c r="M2" s="261"/>
    </row>
    <row r="3" spans="2:13" x14ac:dyDescent="0.25">
      <c r="B3" s="56" t="s">
        <v>184</v>
      </c>
      <c r="C3" s="57" t="s">
        <v>185</v>
      </c>
      <c r="D3" s="58" t="s">
        <v>186</v>
      </c>
      <c r="E3" s="59" t="s">
        <v>187</v>
      </c>
      <c r="F3" s="57" t="s">
        <v>188</v>
      </c>
      <c r="G3" s="58" t="s">
        <v>189</v>
      </c>
      <c r="H3" s="59" t="s">
        <v>190</v>
      </c>
      <c r="I3" s="57" t="s">
        <v>191</v>
      </c>
      <c r="J3" s="58" t="s">
        <v>192</v>
      </c>
      <c r="K3" s="59" t="s">
        <v>193</v>
      </c>
      <c r="L3" s="57" t="s">
        <v>194</v>
      </c>
      <c r="M3" s="59" t="s">
        <v>195</v>
      </c>
    </row>
    <row r="4" spans="2:13" x14ac:dyDescent="0.25">
      <c r="B4" s="60" t="s">
        <v>196</v>
      </c>
      <c r="C4" s="61"/>
      <c r="E4" s="62"/>
      <c r="F4" s="61">
        <f t="shared" ref="F4:F24" si="0">(C4*D4)-E4</f>
        <v>0</v>
      </c>
      <c r="G4" s="60">
        <f t="shared" ref="G4:H4" si="1">F4</f>
        <v>0</v>
      </c>
      <c r="H4" s="62">
        <f t="shared" si="1"/>
        <v>0</v>
      </c>
      <c r="I4" s="61"/>
      <c r="K4" s="62"/>
      <c r="L4" s="61"/>
      <c r="M4" s="62"/>
    </row>
    <row r="5" spans="2:13" x14ac:dyDescent="0.25">
      <c r="B5" s="60" t="s">
        <v>197</v>
      </c>
      <c r="C5" s="61"/>
      <c r="E5" s="62"/>
      <c r="F5" s="61">
        <f t="shared" si="0"/>
        <v>0</v>
      </c>
      <c r="G5" s="60">
        <f t="shared" ref="G5:H5" si="2">F5</f>
        <v>0</v>
      </c>
      <c r="H5" s="62">
        <f t="shared" si="2"/>
        <v>0</v>
      </c>
      <c r="I5" s="61"/>
      <c r="K5" s="62"/>
      <c r="L5" s="61"/>
      <c r="M5" s="62"/>
    </row>
    <row r="6" spans="2:13" x14ac:dyDescent="0.25">
      <c r="B6" s="60" t="s">
        <v>198</v>
      </c>
      <c r="C6" s="61"/>
      <c r="E6" s="62"/>
      <c r="F6" s="61">
        <f t="shared" si="0"/>
        <v>0</v>
      </c>
      <c r="G6" s="60">
        <f t="shared" ref="G6:H6" si="3">F6</f>
        <v>0</v>
      </c>
      <c r="H6" s="62">
        <f t="shared" si="3"/>
        <v>0</v>
      </c>
      <c r="I6" s="61"/>
      <c r="K6" s="62"/>
      <c r="L6" s="61"/>
      <c r="M6" s="62"/>
    </row>
    <row r="7" spans="2:13" x14ac:dyDescent="0.25">
      <c r="B7" s="60" t="s">
        <v>199</v>
      </c>
      <c r="C7" s="61"/>
      <c r="E7" s="62"/>
      <c r="F7" s="61">
        <f t="shared" si="0"/>
        <v>0</v>
      </c>
      <c r="G7" s="60">
        <f t="shared" ref="G7:H7" si="4">F7</f>
        <v>0</v>
      </c>
      <c r="H7" s="62">
        <f t="shared" si="4"/>
        <v>0</v>
      </c>
      <c r="I7" s="61"/>
      <c r="K7" s="62"/>
      <c r="L7" s="61"/>
      <c r="M7" s="62"/>
    </row>
    <row r="8" spans="2:13" x14ac:dyDescent="0.25">
      <c r="B8" s="60" t="s">
        <v>200</v>
      </c>
      <c r="C8" s="61"/>
      <c r="E8" s="62"/>
      <c r="F8" s="61">
        <f t="shared" si="0"/>
        <v>0</v>
      </c>
      <c r="G8" s="60">
        <f t="shared" ref="G8:H8" si="5">F8</f>
        <v>0</v>
      </c>
      <c r="H8" s="62">
        <f t="shared" si="5"/>
        <v>0</v>
      </c>
      <c r="I8" s="61"/>
      <c r="K8" s="62"/>
      <c r="L8" s="61"/>
      <c r="M8" s="62"/>
    </row>
    <row r="9" spans="2:13" x14ac:dyDescent="0.25">
      <c r="B9" s="60" t="s">
        <v>201</v>
      </c>
      <c r="C9" s="61"/>
      <c r="E9" s="62"/>
      <c r="F9" s="61">
        <f t="shared" si="0"/>
        <v>0</v>
      </c>
      <c r="G9" s="60">
        <f t="shared" ref="G9:H9" si="6">F9</f>
        <v>0</v>
      </c>
      <c r="H9" s="62">
        <f t="shared" si="6"/>
        <v>0</v>
      </c>
      <c r="I9" s="61"/>
      <c r="K9" s="62"/>
      <c r="L9" s="61"/>
      <c r="M9" s="62"/>
    </row>
    <row r="10" spans="2:13" x14ac:dyDescent="0.25">
      <c r="B10" s="60" t="s">
        <v>202</v>
      </c>
      <c r="C10" s="61"/>
      <c r="E10" s="62"/>
      <c r="F10" s="61">
        <f t="shared" si="0"/>
        <v>0</v>
      </c>
      <c r="G10" s="60">
        <f t="shared" ref="G10:H10" si="7">F10</f>
        <v>0</v>
      </c>
      <c r="H10" s="62">
        <f t="shared" si="7"/>
        <v>0</v>
      </c>
      <c r="I10" s="61"/>
      <c r="K10" s="62"/>
      <c r="L10" s="61"/>
      <c r="M10" s="62"/>
    </row>
    <row r="11" spans="2:13" x14ac:dyDescent="0.25">
      <c r="B11" s="60" t="s">
        <v>203</v>
      </c>
      <c r="C11" s="61"/>
      <c r="E11" s="62"/>
      <c r="F11" s="61">
        <f t="shared" si="0"/>
        <v>0</v>
      </c>
      <c r="G11" s="60">
        <f t="shared" ref="G11:H11" si="8">F11</f>
        <v>0</v>
      </c>
      <c r="H11" s="62">
        <f t="shared" si="8"/>
        <v>0</v>
      </c>
      <c r="I11" s="61"/>
      <c r="K11" s="62"/>
      <c r="L11" s="61"/>
      <c r="M11" s="62"/>
    </row>
    <row r="12" spans="2:13" x14ac:dyDescent="0.25">
      <c r="B12" s="60" t="s">
        <v>204</v>
      </c>
      <c r="C12" s="61"/>
      <c r="E12" s="62"/>
      <c r="F12" s="61">
        <f t="shared" si="0"/>
        <v>0</v>
      </c>
      <c r="G12" s="60">
        <f t="shared" ref="G12:H12" si="9">F12</f>
        <v>0</v>
      </c>
      <c r="H12" s="62">
        <f t="shared" si="9"/>
        <v>0</v>
      </c>
      <c r="I12" s="61"/>
      <c r="K12" s="62"/>
      <c r="L12" s="61"/>
      <c r="M12" s="62"/>
    </row>
    <row r="13" spans="2:13" x14ac:dyDescent="0.25">
      <c r="B13" s="60" t="s">
        <v>205</v>
      </c>
      <c r="C13" s="61"/>
      <c r="E13" s="62"/>
      <c r="F13" s="61">
        <f t="shared" si="0"/>
        <v>0</v>
      </c>
      <c r="G13" s="60">
        <f t="shared" ref="G13:H13" si="10">F13</f>
        <v>0</v>
      </c>
      <c r="H13" s="62">
        <f t="shared" si="10"/>
        <v>0</v>
      </c>
      <c r="I13" s="61"/>
      <c r="K13" s="62"/>
      <c r="L13" s="61"/>
      <c r="M13" s="62"/>
    </row>
    <row r="14" spans="2:13" x14ac:dyDescent="0.25">
      <c r="C14" s="61"/>
      <c r="E14" s="62"/>
      <c r="F14" s="61">
        <f t="shared" si="0"/>
        <v>0</v>
      </c>
      <c r="G14" s="60">
        <f t="shared" ref="G14:H14" si="11">F14</f>
        <v>0</v>
      </c>
      <c r="H14" s="62">
        <f t="shared" si="11"/>
        <v>0</v>
      </c>
      <c r="I14" s="61"/>
      <c r="K14" s="62"/>
      <c r="L14" s="61"/>
      <c r="M14" s="62"/>
    </row>
    <row r="15" spans="2:13" x14ac:dyDescent="0.25">
      <c r="C15" s="61"/>
      <c r="E15" s="62"/>
      <c r="F15" s="61">
        <f t="shared" si="0"/>
        <v>0</v>
      </c>
      <c r="G15" s="60">
        <f t="shared" ref="G15:H15" si="12">F15</f>
        <v>0</v>
      </c>
      <c r="H15" s="62">
        <f t="shared" si="12"/>
        <v>0</v>
      </c>
      <c r="I15" s="61"/>
      <c r="K15" s="62"/>
      <c r="L15" s="61"/>
      <c r="M15" s="62"/>
    </row>
    <row r="16" spans="2:13" x14ac:dyDescent="0.25">
      <c r="C16" s="61"/>
      <c r="E16" s="62"/>
      <c r="F16" s="61">
        <f t="shared" si="0"/>
        <v>0</v>
      </c>
      <c r="G16" s="60">
        <f t="shared" ref="G16:H16" si="13">F16</f>
        <v>0</v>
      </c>
      <c r="H16" s="62">
        <f t="shared" si="13"/>
        <v>0</v>
      </c>
      <c r="I16" s="61"/>
      <c r="K16" s="62"/>
      <c r="L16" s="61"/>
      <c r="M16" s="62"/>
    </row>
    <row r="17" spans="2:13" x14ac:dyDescent="0.25">
      <c r="C17" s="61"/>
      <c r="E17" s="62"/>
      <c r="F17" s="61">
        <f t="shared" si="0"/>
        <v>0</v>
      </c>
      <c r="G17" s="60">
        <f t="shared" ref="G17:H17" si="14">F17</f>
        <v>0</v>
      </c>
      <c r="H17" s="62">
        <f t="shared" si="14"/>
        <v>0</v>
      </c>
      <c r="I17" s="61"/>
      <c r="K17" s="62"/>
      <c r="L17" s="61"/>
      <c r="M17" s="62"/>
    </row>
    <row r="18" spans="2:13" x14ac:dyDescent="0.25">
      <c r="C18" s="61"/>
      <c r="E18" s="62"/>
      <c r="F18" s="61">
        <f t="shared" si="0"/>
        <v>0</v>
      </c>
      <c r="G18" s="60">
        <f t="shared" ref="G18:H18" si="15">F18</f>
        <v>0</v>
      </c>
      <c r="H18" s="62">
        <f t="shared" si="15"/>
        <v>0</v>
      </c>
      <c r="I18" s="61"/>
      <c r="K18" s="62"/>
      <c r="L18" s="61"/>
      <c r="M18" s="62"/>
    </row>
    <row r="19" spans="2:13" x14ac:dyDescent="0.25">
      <c r="C19" s="61"/>
      <c r="E19" s="62"/>
      <c r="F19" s="61">
        <f t="shared" si="0"/>
        <v>0</v>
      </c>
      <c r="G19" s="60">
        <f t="shared" ref="G19:H19" si="16">F19</f>
        <v>0</v>
      </c>
      <c r="H19" s="62">
        <f t="shared" si="16"/>
        <v>0</v>
      </c>
      <c r="I19" s="61"/>
      <c r="K19" s="62"/>
      <c r="L19" s="61"/>
      <c r="M19" s="62"/>
    </row>
    <row r="20" spans="2:13" x14ac:dyDescent="0.25">
      <c r="C20" s="61"/>
      <c r="E20" s="62"/>
      <c r="F20" s="61">
        <f t="shared" si="0"/>
        <v>0</v>
      </c>
      <c r="G20" s="60">
        <f t="shared" ref="G20:H20" si="17">F20</f>
        <v>0</v>
      </c>
      <c r="H20" s="62">
        <f t="shared" si="17"/>
        <v>0</v>
      </c>
      <c r="I20" s="61"/>
      <c r="K20" s="62"/>
      <c r="L20" s="61"/>
      <c r="M20" s="62"/>
    </row>
    <row r="21" spans="2:13" x14ac:dyDescent="0.25">
      <c r="C21" s="61"/>
      <c r="E21" s="62"/>
      <c r="F21" s="61">
        <f t="shared" si="0"/>
        <v>0</v>
      </c>
      <c r="G21" s="60">
        <f t="shared" ref="G21:H21" si="18">F21</f>
        <v>0</v>
      </c>
      <c r="H21" s="62">
        <f t="shared" si="18"/>
        <v>0</v>
      </c>
      <c r="I21" s="61"/>
      <c r="K21" s="62"/>
      <c r="L21" s="61"/>
      <c r="M21" s="62"/>
    </row>
    <row r="22" spans="2:13" x14ac:dyDescent="0.25">
      <c r="C22" s="61"/>
      <c r="E22" s="62"/>
      <c r="F22" s="61">
        <f t="shared" si="0"/>
        <v>0</v>
      </c>
      <c r="G22" s="60">
        <f t="shared" ref="G22:H22" si="19">F22</f>
        <v>0</v>
      </c>
      <c r="H22" s="62">
        <f t="shared" si="19"/>
        <v>0</v>
      </c>
      <c r="I22" s="61"/>
      <c r="K22" s="62"/>
      <c r="L22" s="61"/>
      <c r="M22" s="62"/>
    </row>
    <row r="23" spans="2:13" x14ac:dyDescent="0.25">
      <c r="C23" s="61"/>
      <c r="E23" s="62"/>
      <c r="F23" s="61">
        <f t="shared" si="0"/>
        <v>0</v>
      </c>
      <c r="G23" s="60">
        <f t="shared" ref="G23:H23" si="20">F23</f>
        <v>0</v>
      </c>
      <c r="H23" s="62">
        <f t="shared" si="20"/>
        <v>0</v>
      </c>
      <c r="I23" s="61"/>
      <c r="K23" s="62"/>
      <c r="L23" s="61"/>
      <c r="M23" s="62"/>
    </row>
    <row r="24" spans="2:13" x14ac:dyDescent="0.25">
      <c r="C24" s="63"/>
      <c r="D24" s="64"/>
      <c r="E24" s="65"/>
      <c r="F24" s="63">
        <f t="shared" si="0"/>
        <v>0</v>
      </c>
      <c r="G24" s="64">
        <f t="shared" ref="G24:H24" si="21">F24</f>
        <v>0</v>
      </c>
      <c r="H24" s="65">
        <f t="shared" si="21"/>
        <v>0</v>
      </c>
      <c r="I24" s="63"/>
      <c r="J24" s="64"/>
      <c r="K24" s="65"/>
      <c r="L24" s="63"/>
      <c r="M24" s="65"/>
    </row>
    <row r="26" spans="2:13" x14ac:dyDescent="0.25">
      <c r="B26" s="264" t="s">
        <v>206</v>
      </c>
      <c r="C26" s="262"/>
      <c r="D26" s="262"/>
      <c r="E26" s="262"/>
      <c r="F26" s="262"/>
      <c r="G26" s="262"/>
      <c r="H26" s="262"/>
      <c r="I26" s="262"/>
      <c r="J26" s="262"/>
      <c r="K26" s="262"/>
      <c r="L26" s="262"/>
      <c r="M26" s="261"/>
    </row>
    <row r="27" spans="2:13" x14ac:dyDescent="0.25">
      <c r="B27" s="66"/>
      <c r="C27" s="67"/>
      <c r="D27" s="260" t="s">
        <v>207</v>
      </c>
      <c r="E27" s="262"/>
      <c r="F27" s="261"/>
      <c r="G27" s="260" t="s">
        <v>208</v>
      </c>
      <c r="H27" s="261"/>
      <c r="I27" s="260" t="s">
        <v>209</v>
      </c>
      <c r="J27" s="262"/>
      <c r="K27" s="261"/>
    </row>
    <row r="28" spans="2:13" x14ac:dyDescent="0.25">
      <c r="B28" s="68" t="s">
        <v>184</v>
      </c>
      <c r="C28" s="69" t="s">
        <v>210</v>
      </c>
      <c r="D28" s="57" t="s">
        <v>211</v>
      </c>
      <c r="E28" s="58" t="s">
        <v>195</v>
      </c>
      <c r="F28" s="59" t="s">
        <v>212</v>
      </c>
      <c r="G28" s="57" t="s">
        <v>213</v>
      </c>
      <c r="H28" s="59" t="s">
        <v>214</v>
      </c>
      <c r="I28" s="57" t="s">
        <v>215</v>
      </c>
      <c r="J28" s="58" t="s">
        <v>216</v>
      </c>
      <c r="K28" s="59" t="s">
        <v>182</v>
      </c>
      <c r="L28" s="70"/>
    </row>
    <row r="29" spans="2:13" x14ac:dyDescent="0.25">
      <c r="B29" s="60" t="s">
        <v>196</v>
      </c>
      <c r="C29" s="71">
        <v>12.08</v>
      </c>
      <c r="D29" s="61">
        <v>0</v>
      </c>
      <c r="E29" s="60">
        <v>12.08</v>
      </c>
      <c r="F29" s="62">
        <v>0</v>
      </c>
      <c r="G29" s="61">
        <v>0</v>
      </c>
      <c r="H29" s="62">
        <v>0</v>
      </c>
      <c r="I29" s="61"/>
      <c r="K29" s="62"/>
    </row>
    <row r="30" spans="2:13" x14ac:dyDescent="0.25">
      <c r="B30" s="60" t="s">
        <v>197</v>
      </c>
      <c r="C30" s="71">
        <v>7.8</v>
      </c>
      <c r="D30" s="61">
        <v>0</v>
      </c>
      <c r="E30" s="60">
        <v>7.8</v>
      </c>
      <c r="F30" s="62">
        <v>0</v>
      </c>
      <c r="G30" s="61">
        <v>0</v>
      </c>
      <c r="H30" s="62">
        <v>0</v>
      </c>
      <c r="I30" s="61"/>
      <c r="K30" s="62"/>
    </row>
    <row r="31" spans="2:13" x14ac:dyDescent="0.25">
      <c r="B31" s="60" t="s">
        <v>198</v>
      </c>
      <c r="C31" s="71">
        <v>7.8</v>
      </c>
      <c r="D31" s="61">
        <v>0</v>
      </c>
      <c r="E31" s="60">
        <v>7.8</v>
      </c>
      <c r="F31" s="62">
        <v>0</v>
      </c>
      <c r="G31" s="61">
        <v>0</v>
      </c>
      <c r="H31" s="62">
        <v>0</v>
      </c>
      <c r="I31" s="61"/>
      <c r="K31" s="62"/>
    </row>
    <row r="32" spans="2:13" x14ac:dyDescent="0.25">
      <c r="B32" s="60" t="s">
        <v>199</v>
      </c>
      <c r="C32" s="71">
        <v>0</v>
      </c>
      <c r="D32" s="61">
        <v>0</v>
      </c>
      <c r="E32" s="60">
        <v>0</v>
      </c>
      <c r="F32" s="62">
        <v>0</v>
      </c>
      <c r="G32" s="61">
        <v>0</v>
      </c>
      <c r="H32" s="62">
        <v>0</v>
      </c>
      <c r="I32" s="61"/>
      <c r="K32" s="62"/>
    </row>
    <row r="33" spans="2:11" x14ac:dyDescent="0.25">
      <c r="B33" s="60" t="s">
        <v>200</v>
      </c>
      <c r="C33" s="71">
        <v>2.57</v>
      </c>
      <c r="D33" s="61">
        <v>0</v>
      </c>
      <c r="E33" s="60">
        <v>2.57</v>
      </c>
      <c r="F33" s="62">
        <v>0</v>
      </c>
      <c r="G33" s="61">
        <v>0</v>
      </c>
      <c r="H33" s="62">
        <v>0</v>
      </c>
      <c r="I33" s="61"/>
      <c r="K33" s="62"/>
    </row>
    <row r="34" spans="2:11" x14ac:dyDescent="0.25">
      <c r="B34" s="60" t="s">
        <v>201</v>
      </c>
      <c r="C34" s="71">
        <v>0</v>
      </c>
      <c r="D34" s="61">
        <v>0</v>
      </c>
      <c r="E34" s="60">
        <v>0</v>
      </c>
      <c r="F34" s="62">
        <v>0</v>
      </c>
      <c r="G34" s="61">
        <v>0</v>
      </c>
      <c r="H34" s="62">
        <v>0</v>
      </c>
      <c r="I34" s="61"/>
      <c r="K34" s="62"/>
    </row>
    <row r="35" spans="2:11" x14ac:dyDescent="0.25">
      <c r="B35" s="60" t="s">
        <v>202</v>
      </c>
      <c r="C35" s="71">
        <v>0</v>
      </c>
      <c r="D35" s="61">
        <v>0</v>
      </c>
      <c r="E35" s="60">
        <v>0</v>
      </c>
      <c r="F35" s="62">
        <v>0</v>
      </c>
      <c r="G35" s="61">
        <v>0</v>
      </c>
      <c r="H35" s="62">
        <v>0</v>
      </c>
      <c r="I35" s="61"/>
      <c r="K35" s="62"/>
    </row>
    <row r="36" spans="2:11" x14ac:dyDescent="0.25">
      <c r="B36" s="60" t="s">
        <v>203</v>
      </c>
      <c r="C36" s="71">
        <v>0</v>
      </c>
      <c r="D36" s="61">
        <v>0</v>
      </c>
      <c r="E36" s="60">
        <v>0</v>
      </c>
      <c r="F36" s="62">
        <v>0</v>
      </c>
      <c r="G36" s="61">
        <v>0</v>
      </c>
      <c r="H36" s="62">
        <v>0</v>
      </c>
      <c r="I36" s="61"/>
      <c r="K36" s="62"/>
    </row>
    <row r="37" spans="2:11" x14ac:dyDescent="0.25">
      <c r="B37" s="60" t="s">
        <v>204</v>
      </c>
      <c r="C37" s="71">
        <v>0</v>
      </c>
      <c r="D37" s="61">
        <v>0</v>
      </c>
      <c r="E37" s="60">
        <v>0</v>
      </c>
      <c r="F37" s="62">
        <v>0</v>
      </c>
      <c r="G37" s="61">
        <v>0</v>
      </c>
      <c r="H37" s="62">
        <v>0</v>
      </c>
      <c r="I37" s="61"/>
      <c r="K37" s="62"/>
    </row>
    <row r="38" spans="2:11" x14ac:dyDescent="0.25">
      <c r="B38" s="60" t="s">
        <v>205</v>
      </c>
      <c r="C38" s="71">
        <v>0</v>
      </c>
      <c r="D38" s="61">
        <v>0</v>
      </c>
      <c r="E38" s="60">
        <v>0</v>
      </c>
      <c r="F38" s="62">
        <v>0</v>
      </c>
      <c r="G38" s="61">
        <v>0</v>
      </c>
      <c r="H38" s="62">
        <v>0</v>
      </c>
      <c r="I38" s="61"/>
      <c r="K38" s="62"/>
    </row>
    <row r="39" spans="2:11" x14ac:dyDescent="0.25">
      <c r="B39" s="60" t="s">
        <v>217</v>
      </c>
      <c r="C39" s="71">
        <v>6.84</v>
      </c>
      <c r="D39" s="61">
        <v>0</v>
      </c>
      <c r="E39" s="60">
        <v>6.84</v>
      </c>
      <c r="F39" s="62">
        <v>0</v>
      </c>
      <c r="G39" s="61">
        <v>0</v>
      </c>
      <c r="H39" s="62">
        <v>0</v>
      </c>
      <c r="I39" s="61"/>
      <c r="K39" s="62"/>
    </row>
    <row r="40" spans="2:11" x14ac:dyDescent="0.25">
      <c r="C40" s="71"/>
      <c r="D40" s="61">
        <v>0</v>
      </c>
      <c r="F40" s="62">
        <v>0</v>
      </c>
      <c r="G40" s="61">
        <v>0</v>
      </c>
      <c r="H40" s="62">
        <v>0</v>
      </c>
      <c r="I40" s="61"/>
      <c r="K40" s="62"/>
    </row>
    <row r="41" spans="2:11" x14ac:dyDescent="0.25">
      <c r="B41" s="60" t="s">
        <v>218</v>
      </c>
      <c r="C41" s="71">
        <f>SUM(C29:C39)</f>
        <v>37.090000000000003</v>
      </c>
      <c r="D41" s="61">
        <v>0</v>
      </c>
      <c r="F41" s="62">
        <v>0</v>
      </c>
      <c r="G41" s="61">
        <v>0</v>
      </c>
      <c r="H41" s="62">
        <v>0</v>
      </c>
      <c r="I41" s="61"/>
      <c r="K41" s="62"/>
    </row>
    <row r="42" spans="2:11" x14ac:dyDescent="0.25">
      <c r="C42" s="71"/>
      <c r="D42" s="61">
        <v>0</v>
      </c>
      <c r="F42" s="62">
        <v>0</v>
      </c>
      <c r="G42" s="61">
        <v>0</v>
      </c>
      <c r="H42" s="62">
        <v>0</v>
      </c>
      <c r="I42" s="61"/>
      <c r="K42" s="62"/>
    </row>
    <row r="43" spans="2:11" x14ac:dyDescent="0.25">
      <c r="C43" s="71"/>
      <c r="D43" s="61">
        <v>0</v>
      </c>
      <c r="F43" s="62">
        <v>0</v>
      </c>
      <c r="G43" s="61">
        <v>0</v>
      </c>
      <c r="H43" s="62">
        <v>0</v>
      </c>
      <c r="I43" s="61"/>
      <c r="K43" s="62"/>
    </row>
    <row r="44" spans="2:11" x14ac:dyDescent="0.25">
      <c r="C44" s="71"/>
      <c r="D44" s="61">
        <v>0</v>
      </c>
      <c r="F44" s="62">
        <v>0</v>
      </c>
      <c r="G44" s="61">
        <v>0</v>
      </c>
      <c r="H44" s="62">
        <v>0</v>
      </c>
      <c r="I44" s="61"/>
      <c r="K44" s="62"/>
    </row>
    <row r="45" spans="2:11" x14ac:dyDescent="0.25">
      <c r="C45" s="71"/>
      <c r="D45" s="61">
        <v>0</v>
      </c>
      <c r="F45" s="62">
        <v>0</v>
      </c>
      <c r="G45" s="61">
        <v>0</v>
      </c>
      <c r="H45" s="62">
        <v>0</v>
      </c>
      <c r="I45" s="61"/>
      <c r="K45" s="62"/>
    </row>
    <row r="46" spans="2:11" x14ac:dyDescent="0.25">
      <c r="C46" s="71"/>
      <c r="D46" s="61">
        <v>0</v>
      </c>
      <c r="F46" s="62">
        <v>0</v>
      </c>
      <c r="G46" s="61">
        <v>0</v>
      </c>
      <c r="H46" s="62">
        <v>0</v>
      </c>
      <c r="I46" s="61"/>
      <c r="K46" s="62"/>
    </row>
    <row r="47" spans="2:11" x14ac:dyDescent="0.25">
      <c r="C47" s="71"/>
      <c r="D47" s="61">
        <v>0</v>
      </c>
      <c r="F47" s="62">
        <v>0</v>
      </c>
      <c r="G47" s="61">
        <v>0</v>
      </c>
      <c r="H47" s="62">
        <v>0</v>
      </c>
      <c r="I47" s="61"/>
      <c r="K47" s="62"/>
    </row>
    <row r="48" spans="2:11" x14ac:dyDescent="0.25">
      <c r="C48" s="71"/>
      <c r="D48" s="61">
        <v>0</v>
      </c>
      <c r="F48" s="62">
        <v>0</v>
      </c>
      <c r="G48" s="61">
        <v>0</v>
      </c>
      <c r="H48" s="62">
        <v>0</v>
      </c>
      <c r="I48" s="61"/>
      <c r="K48" s="62"/>
    </row>
    <row r="49" spans="3:11" x14ac:dyDescent="0.25">
      <c r="C49" s="72"/>
      <c r="D49" s="63"/>
      <c r="E49" s="64"/>
      <c r="F49" s="65">
        <v>0</v>
      </c>
      <c r="G49" s="61">
        <v>0</v>
      </c>
      <c r="H49" s="62">
        <v>0</v>
      </c>
      <c r="I49" s="63"/>
      <c r="J49" s="64"/>
      <c r="K49" s="65"/>
    </row>
  </sheetData>
  <mergeCells count="9">
    <mergeCell ref="G27:H27"/>
    <mergeCell ref="I27:K27"/>
    <mergeCell ref="B1:M1"/>
    <mergeCell ref="C2:E2"/>
    <mergeCell ref="F2:H2"/>
    <mergeCell ref="I2:K2"/>
    <mergeCell ref="L2:M2"/>
    <mergeCell ref="B26:M26"/>
    <mergeCell ref="D27:F2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203"/>
  <sheetViews>
    <sheetView workbookViewId="0"/>
  </sheetViews>
  <sheetFormatPr defaultColWidth="12.6640625" defaultRowHeight="15.75" customHeight="1" outlineLevelRow="2" x14ac:dyDescent="0.25"/>
  <cols>
    <col min="1" max="1" width="7.6640625" customWidth="1"/>
    <col min="2" max="2" width="86.6640625" customWidth="1"/>
    <col min="3" max="3" width="5" customWidth="1"/>
    <col min="4" max="4" width="9.88671875" customWidth="1"/>
    <col min="5" max="5" width="12.109375" customWidth="1"/>
    <col min="6" max="7" width="10.77734375" customWidth="1"/>
    <col min="8" max="8" width="8.44140625" customWidth="1"/>
    <col min="9" max="9" width="11.6640625" customWidth="1"/>
    <col min="10" max="10" width="8.44140625" customWidth="1"/>
  </cols>
  <sheetData>
    <row r="1" spans="1:24" ht="28.8" x14ac:dyDescent="0.3">
      <c r="A1" s="4" t="s">
        <v>0</v>
      </c>
      <c r="B1" s="73" t="str">
        <f>'1. BRIEFING'!B2</f>
        <v>-</v>
      </c>
      <c r="C1" s="7"/>
      <c r="D1" s="7"/>
      <c r="E1" s="7"/>
      <c r="F1" s="74"/>
      <c r="G1" s="75" t="s">
        <v>219</v>
      </c>
      <c r="H1" s="75" t="s">
        <v>220</v>
      </c>
      <c r="I1" s="75" t="s">
        <v>219</v>
      </c>
      <c r="J1" s="75" t="s">
        <v>220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ht="14.4" x14ac:dyDescent="0.3">
      <c r="A2" s="10" t="s">
        <v>3</v>
      </c>
      <c r="B2" s="76" t="str">
        <f>'1. BRIEFING'!B3</f>
        <v>-</v>
      </c>
      <c r="C2" s="12"/>
      <c r="D2" s="12"/>
      <c r="E2" s="77" t="s">
        <v>221</v>
      </c>
      <c r="F2" s="78">
        <v>0</v>
      </c>
      <c r="G2" s="1" t="s">
        <v>222</v>
      </c>
      <c r="H2" s="79">
        <v>25.38</v>
      </c>
      <c r="I2" s="1" t="s">
        <v>223</v>
      </c>
      <c r="J2" s="80">
        <v>25.18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4" ht="14.4" x14ac:dyDescent="0.3">
      <c r="A3" s="9" t="s">
        <v>4</v>
      </c>
      <c r="B3" s="76" t="str">
        <f>'1. BRIEFING'!B4</f>
        <v>-</v>
      </c>
      <c r="C3" s="12"/>
      <c r="D3" s="12"/>
      <c r="E3" s="77" t="s">
        <v>224</v>
      </c>
      <c r="F3" s="78">
        <v>0</v>
      </c>
      <c r="G3" s="1" t="s">
        <v>225</v>
      </c>
      <c r="H3" s="79">
        <v>20.420000000000002</v>
      </c>
      <c r="I3" s="1" t="s">
        <v>226</v>
      </c>
      <c r="J3" s="80">
        <v>25.69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4" ht="17.399999999999999" x14ac:dyDescent="0.35">
      <c r="A4" s="81"/>
      <c r="B4" s="76">
        <f>'1. BRIEFING'!B5</f>
        <v>0</v>
      </c>
      <c r="C4" s="82"/>
      <c r="D4" s="82"/>
      <c r="E4" s="77" t="s">
        <v>227</v>
      </c>
      <c r="F4" s="78">
        <v>0</v>
      </c>
      <c r="G4" s="1" t="s">
        <v>228</v>
      </c>
      <c r="H4" s="79">
        <v>24.63</v>
      </c>
      <c r="I4" s="1" t="s">
        <v>229</v>
      </c>
      <c r="J4" s="79">
        <v>25.25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4" ht="13.2" x14ac:dyDescent="0.25">
      <c r="A5" s="83"/>
      <c r="B5" s="84"/>
      <c r="C5" s="17"/>
      <c r="D5" s="17"/>
      <c r="E5" s="85" t="s">
        <v>230</v>
      </c>
      <c r="F5" s="86">
        <v>0</v>
      </c>
      <c r="G5" s="60" t="s">
        <v>231</v>
      </c>
      <c r="H5" s="87">
        <v>19.82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4" ht="15.6" x14ac:dyDescent="0.3">
      <c r="A6" s="265" t="s">
        <v>232</v>
      </c>
      <c r="B6" s="259"/>
      <c r="C6" s="259"/>
      <c r="D6" s="259"/>
      <c r="E6" s="259"/>
      <c r="F6" s="259"/>
      <c r="G6" s="1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4" ht="14.4" x14ac:dyDescent="0.3">
      <c r="A7" s="88" t="s">
        <v>6</v>
      </c>
      <c r="B7" s="89" t="s">
        <v>233</v>
      </c>
      <c r="C7" s="90" t="s">
        <v>8</v>
      </c>
      <c r="D7" s="90" t="s">
        <v>9</v>
      </c>
      <c r="E7" s="90" t="s">
        <v>234</v>
      </c>
      <c r="F7" s="91" t="s">
        <v>235</v>
      </c>
      <c r="G7" s="90" t="s">
        <v>236</v>
      </c>
      <c r="H7" s="90" t="s">
        <v>220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4" ht="14.4" collapsed="1" x14ac:dyDescent="0.3">
      <c r="A8" s="92">
        <f>'1. BRIEFING'!A14</f>
        <v>2</v>
      </c>
      <c r="B8" s="93" t="str">
        <f>'1. BRIEFING'!B14</f>
        <v>DEMOLIÇÃO E RETIRADA</v>
      </c>
      <c r="C8" s="92"/>
      <c r="D8" s="92"/>
      <c r="E8" s="94"/>
      <c r="F8" s="94"/>
      <c r="G8" s="94"/>
      <c r="H8" s="9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4" ht="14.4" hidden="1" outlineLevel="1" collapsed="1" x14ac:dyDescent="0.3">
      <c r="A9" s="95" t="str">
        <f>'1. BRIEFING'!A15</f>
        <v>2.1</v>
      </c>
      <c r="B9" s="96" t="str">
        <f>'1. BRIEFING'!B15</f>
        <v>DEMOLIÇÃO DE ALVENARIA DE VEDAÇÃO</v>
      </c>
      <c r="C9" s="97" t="s">
        <v>163</v>
      </c>
      <c r="D9" s="95" t="str">
        <f>'1. BRIEFING'!D15</f>
        <v>1,00</v>
      </c>
      <c r="E9" s="98">
        <f>F9/D9</f>
        <v>62.5</v>
      </c>
      <c r="F9" s="99">
        <f>SUM(F10:F12)</f>
        <v>62.5</v>
      </c>
      <c r="G9" s="100" t="s">
        <v>237</v>
      </c>
      <c r="H9" s="100" t="s">
        <v>220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4" ht="14.4" hidden="1" outlineLevel="2" x14ac:dyDescent="0.3">
      <c r="A10" s="101" t="s">
        <v>238</v>
      </c>
      <c r="B10" s="102" t="s">
        <v>239</v>
      </c>
      <c r="C10" s="101" t="s">
        <v>20</v>
      </c>
      <c r="D10" s="101">
        <v>1</v>
      </c>
      <c r="E10" s="103">
        <v>2.5</v>
      </c>
      <c r="F10" s="104">
        <f t="shared" ref="F10:F12" si="0">(E10*D10)*$D$9</f>
        <v>2.5</v>
      </c>
      <c r="G10" s="1"/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4" ht="14.4" hidden="1" outlineLevel="2" x14ac:dyDescent="0.3">
      <c r="A11" s="101" t="s">
        <v>240</v>
      </c>
      <c r="B11" s="102" t="s">
        <v>241</v>
      </c>
      <c r="C11" s="101" t="s">
        <v>163</v>
      </c>
      <c r="D11" s="101">
        <v>1</v>
      </c>
      <c r="E11" s="103">
        <v>30</v>
      </c>
      <c r="F11" s="104">
        <f t="shared" si="0"/>
        <v>30</v>
      </c>
      <c r="G11" s="1">
        <v>0.255</v>
      </c>
      <c r="H11" s="79">
        <f t="shared" ref="H11:H12" si="1">H2</f>
        <v>25.38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4" ht="14.4" hidden="1" outlineLevel="2" x14ac:dyDescent="0.3">
      <c r="A12" s="101" t="s">
        <v>240</v>
      </c>
      <c r="B12" s="102" t="s">
        <v>242</v>
      </c>
      <c r="C12" s="101" t="s">
        <v>163</v>
      </c>
      <c r="D12" s="101">
        <v>1</v>
      </c>
      <c r="E12" s="103">
        <v>30</v>
      </c>
      <c r="F12" s="104">
        <f t="shared" si="0"/>
        <v>30</v>
      </c>
      <c r="G12" s="1">
        <v>2.3250000000000002</v>
      </c>
      <c r="H12" s="79">
        <f t="shared" si="1"/>
        <v>20.420000000000002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4" ht="14.4" hidden="1" outlineLevel="2" x14ac:dyDescent="0.3">
      <c r="A13" s="105"/>
      <c r="B13" s="106"/>
      <c r="C13" s="107" t="s">
        <v>240</v>
      </c>
      <c r="D13" s="108">
        <f>F12/D9</f>
        <v>30</v>
      </c>
      <c r="E13" s="108" t="s">
        <v>238</v>
      </c>
      <c r="F13" s="108">
        <f>F10/D9</f>
        <v>2.5</v>
      </c>
      <c r="G13" s="109"/>
      <c r="H13" s="110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11"/>
      <c r="X13" s="111"/>
    </row>
    <row r="14" spans="1:24" ht="14.4" hidden="1" outlineLevel="1" collapsed="1" x14ac:dyDescent="0.3">
      <c r="A14" s="112" t="str">
        <f>'1. BRIEFING'!A16</f>
        <v>2.2</v>
      </c>
      <c r="B14" s="113" t="str">
        <f>'1. BRIEFING'!B16</f>
        <v>REMOÇÃO DE BANCADAS EM GRANITO</v>
      </c>
      <c r="C14" s="100" t="s">
        <v>20</v>
      </c>
      <c r="D14" s="112" t="str">
        <f>'1. BRIEFING'!D16</f>
        <v>1,00</v>
      </c>
      <c r="E14" s="99">
        <f>F14/D14</f>
        <v>50</v>
      </c>
      <c r="F14" s="99">
        <f>SUM(F15)</f>
        <v>50</v>
      </c>
      <c r="G14" s="100" t="s">
        <v>237</v>
      </c>
      <c r="H14" s="100" t="s">
        <v>220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4" ht="14.4" hidden="1" outlineLevel="2" x14ac:dyDescent="0.3">
      <c r="A15" s="101" t="s">
        <v>240</v>
      </c>
      <c r="B15" s="102" t="s">
        <v>243</v>
      </c>
      <c r="C15" s="101" t="s">
        <v>20</v>
      </c>
      <c r="D15" s="101">
        <v>1</v>
      </c>
      <c r="E15" s="103">
        <v>50</v>
      </c>
      <c r="F15" s="104">
        <f>(E15*D15)*D14</f>
        <v>50</v>
      </c>
      <c r="G15" s="1">
        <v>0.2</v>
      </c>
      <c r="H15" s="79">
        <f>H3</f>
        <v>20.420000000000002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4" ht="14.4" hidden="1" outlineLevel="2" x14ac:dyDescent="0.3">
      <c r="A16" s="105"/>
      <c r="B16" s="106"/>
      <c r="C16" s="107" t="s">
        <v>240</v>
      </c>
      <c r="D16" s="108">
        <f>F15/D14</f>
        <v>50</v>
      </c>
      <c r="E16" s="108" t="s">
        <v>238</v>
      </c>
      <c r="F16" s="108">
        <v>0</v>
      </c>
      <c r="G16" s="109"/>
      <c r="H16" s="110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11"/>
      <c r="X16" s="111"/>
    </row>
    <row r="17" spans="1:24" ht="14.4" hidden="1" outlineLevel="1" collapsed="1" x14ac:dyDescent="0.3">
      <c r="A17" s="112" t="str">
        <f>'1. BRIEFING'!A17</f>
        <v>2.3</v>
      </c>
      <c r="B17" s="113" t="str">
        <f>'1. BRIEFING'!B17</f>
        <v>REMOÇÃO DE LOUÇAS E METAIS</v>
      </c>
      <c r="C17" s="100" t="s">
        <v>20</v>
      </c>
      <c r="D17" s="112" t="str">
        <f>'1. BRIEFING'!D17</f>
        <v>1,00</v>
      </c>
      <c r="E17" s="99">
        <f>F17/D17</f>
        <v>1027</v>
      </c>
      <c r="F17" s="99">
        <f>SUM(F18:F20)</f>
        <v>1027</v>
      </c>
      <c r="G17" s="100" t="s">
        <v>237</v>
      </c>
      <c r="H17" s="100" t="s">
        <v>220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4" ht="14.4" hidden="1" outlineLevel="2" x14ac:dyDescent="0.3">
      <c r="A18" s="101" t="s">
        <v>240</v>
      </c>
      <c r="B18" s="102" t="s">
        <v>244</v>
      </c>
      <c r="C18" s="101" t="s">
        <v>20</v>
      </c>
      <c r="D18" s="101">
        <v>1</v>
      </c>
      <c r="E18" s="103">
        <v>20</v>
      </c>
      <c r="F18" s="104">
        <f t="shared" ref="F18:F19" si="2">(E18*D18)*D16</f>
        <v>1000</v>
      </c>
      <c r="G18" s="1">
        <v>0.17549999999999999</v>
      </c>
      <c r="H18" s="79">
        <f>H4</f>
        <v>24.63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4" ht="14.4" hidden="1" outlineLevel="2" x14ac:dyDescent="0.3">
      <c r="A19" s="101" t="s">
        <v>240</v>
      </c>
      <c r="B19" s="102" t="s">
        <v>245</v>
      </c>
      <c r="C19" s="101" t="s">
        <v>20</v>
      </c>
      <c r="D19" s="101">
        <v>1</v>
      </c>
      <c r="E19" s="103">
        <v>25</v>
      </c>
      <c r="F19" s="104">
        <f t="shared" si="2"/>
        <v>25</v>
      </c>
      <c r="G19" s="1">
        <v>0.3448</v>
      </c>
      <c r="H19" s="79">
        <f>H3</f>
        <v>20.420000000000002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4" ht="14.4" hidden="1" outlineLevel="2" x14ac:dyDescent="0.3">
      <c r="A20" s="101" t="s">
        <v>238</v>
      </c>
      <c r="B20" s="102" t="s">
        <v>239</v>
      </c>
      <c r="C20" s="101" t="s">
        <v>20</v>
      </c>
      <c r="D20" s="101">
        <v>1</v>
      </c>
      <c r="E20" s="103">
        <v>2</v>
      </c>
      <c r="F20" s="104">
        <f>(E20*D20)*D17</f>
        <v>2</v>
      </c>
      <c r="G20" s="1"/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4" ht="14.4" hidden="1" outlineLevel="2" x14ac:dyDescent="0.3">
      <c r="A21" s="105"/>
      <c r="B21" s="106"/>
      <c r="C21" s="107" t="s">
        <v>240</v>
      </c>
      <c r="D21" s="108">
        <f>SUM(F18:F19)/D17</f>
        <v>1025</v>
      </c>
      <c r="E21" s="108" t="s">
        <v>238</v>
      </c>
      <c r="F21" s="108">
        <f>F20/D17</f>
        <v>2</v>
      </c>
      <c r="G21" s="109"/>
      <c r="H21" s="110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11"/>
      <c r="X21" s="111"/>
    </row>
    <row r="22" spans="1:24" ht="14.4" hidden="1" outlineLevel="1" collapsed="1" x14ac:dyDescent="0.3">
      <c r="A22" s="112" t="str">
        <f>'1. BRIEFING'!A18</f>
        <v>2.4</v>
      </c>
      <c r="B22" s="113" t="str">
        <f>'1. BRIEFING'!B18</f>
        <v>REMOÇÃO DE PORTAS INTERNAS EM MADEIRA</v>
      </c>
      <c r="C22" s="100" t="s">
        <v>20</v>
      </c>
      <c r="D22" s="112" t="str">
        <f>'1. BRIEFING'!D18</f>
        <v>1,00</v>
      </c>
      <c r="E22" s="99">
        <f>F22/D22</f>
        <v>70</v>
      </c>
      <c r="F22" s="99">
        <f>SUM(F23:F24)</f>
        <v>70</v>
      </c>
      <c r="G22" s="100" t="s">
        <v>237</v>
      </c>
      <c r="H22" s="100" t="s">
        <v>220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4" ht="14.4" hidden="1" outlineLevel="2" x14ac:dyDescent="0.3">
      <c r="A23" s="101" t="s">
        <v>240</v>
      </c>
      <c r="B23" s="102" t="s">
        <v>246</v>
      </c>
      <c r="C23" s="101" t="s">
        <v>20</v>
      </c>
      <c r="D23" s="101">
        <v>1</v>
      </c>
      <c r="E23" s="103">
        <v>50</v>
      </c>
      <c r="F23" s="104">
        <f>(E23*D23)*D22</f>
        <v>50</v>
      </c>
      <c r="G23" s="1">
        <v>0.13150000000000001</v>
      </c>
      <c r="H23" s="79">
        <f t="shared" ref="H23:H24" si="3">H2</f>
        <v>25.38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4" ht="14.4" hidden="1" outlineLevel="2" x14ac:dyDescent="0.3">
      <c r="A24" s="101" t="s">
        <v>240</v>
      </c>
      <c r="B24" s="102" t="s">
        <v>247</v>
      </c>
      <c r="C24" s="101" t="s">
        <v>20</v>
      </c>
      <c r="D24" s="101">
        <v>1</v>
      </c>
      <c r="E24" s="103">
        <v>20</v>
      </c>
      <c r="F24" s="104">
        <f>(E24*D24)*D22</f>
        <v>20</v>
      </c>
      <c r="G24" s="1">
        <v>0.25819999999999999</v>
      </c>
      <c r="H24" s="79">
        <f t="shared" si="3"/>
        <v>20.420000000000002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4" ht="14.4" hidden="1" outlineLevel="2" x14ac:dyDescent="0.3">
      <c r="A25" s="105"/>
      <c r="B25" s="106"/>
      <c r="C25" s="107" t="s">
        <v>240</v>
      </c>
      <c r="D25" s="108">
        <f>F24/D22</f>
        <v>20</v>
      </c>
      <c r="E25" s="108" t="s">
        <v>238</v>
      </c>
      <c r="F25" s="108">
        <v>0</v>
      </c>
      <c r="G25" s="109"/>
      <c r="H25" s="110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11"/>
      <c r="X25" s="111"/>
    </row>
    <row r="26" spans="1:24" ht="14.4" hidden="1" outlineLevel="1" collapsed="1" x14ac:dyDescent="0.3">
      <c r="A26" s="112" t="str">
        <f>'1. BRIEFING'!A19</f>
        <v>2.5</v>
      </c>
      <c r="B26" s="113" t="str">
        <f>'1. BRIEFING'!B19</f>
        <v>DEMOLIÇÃO DE REVESTIMENTO CERÂMICO EM PAREDE</v>
      </c>
      <c r="C26" s="100" t="s">
        <v>163</v>
      </c>
      <c r="D26" s="112" t="str">
        <f>'1. BRIEFING'!D19</f>
        <v>1,00</v>
      </c>
      <c r="E26" s="99">
        <f>F26/D26</f>
        <v>12.5</v>
      </c>
      <c r="F26" s="99">
        <f>SUM(F28:F29)</f>
        <v>12.5</v>
      </c>
      <c r="G26" s="100" t="s">
        <v>237</v>
      </c>
      <c r="H26" s="100" t="s">
        <v>220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4" ht="14.4" hidden="1" outlineLevel="2" x14ac:dyDescent="0.3">
      <c r="A27" s="101" t="s">
        <v>240</v>
      </c>
      <c r="B27" s="102" t="s">
        <v>248</v>
      </c>
      <c r="C27" s="101" t="s">
        <v>29</v>
      </c>
      <c r="D27" s="101">
        <v>1</v>
      </c>
      <c r="E27" s="103">
        <v>20</v>
      </c>
      <c r="F27" s="104">
        <f t="shared" ref="F27:F29" si="4">(E27*D27)*$D$26</f>
        <v>20</v>
      </c>
      <c r="G27" s="1">
        <v>0.25530000000000003</v>
      </c>
      <c r="H27" s="79">
        <f>J4</f>
        <v>25.25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4" ht="14.4" hidden="1" outlineLevel="2" x14ac:dyDescent="0.3">
      <c r="A28" s="101" t="s">
        <v>240</v>
      </c>
      <c r="B28" s="102" t="s">
        <v>249</v>
      </c>
      <c r="C28" s="101" t="s">
        <v>29</v>
      </c>
      <c r="D28" s="101">
        <v>1</v>
      </c>
      <c r="E28" s="103">
        <v>10</v>
      </c>
      <c r="F28" s="104">
        <f t="shared" si="4"/>
        <v>10</v>
      </c>
      <c r="G28" s="1">
        <v>0.71950000000000003</v>
      </c>
      <c r="H28" s="79">
        <f>H3</f>
        <v>20.420000000000002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4" ht="14.4" hidden="1" outlineLevel="2" x14ac:dyDescent="0.3">
      <c r="A29" s="101" t="s">
        <v>238</v>
      </c>
      <c r="B29" s="102" t="s">
        <v>239</v>
      </c>
      <c r="C29" s="101" t="s">
        <v>20</v>
      </c>
      <c r="D29" s="101">
        <v>1</v>
      </c>
      <c r="E29" s="103">
        <v>2.5</v>
      </c>
      <c r="F29" s="104">
        <f t="shared" si="4"/>
        <v>2.5</v>
      </c>
      <c r="G29" s="114"/>
      <c r="H29" s="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4" ht="14.4" hidden="1" outlineLevel="2" x14ac:dyDescent="0.3">
      <c r="A30" s="105"/>
      <c r="B30" s="106"/>
      <c r="C30" s="107" t="s">
        <v>240</v>
      </c>
      <c r="D30" s="108">
        <f>F28/D26</f>
        <v>10</v>
      </c>
      <c r="E30" s="108" t="s">
        <v>238</v>
      </c>
      <c r="F30" s="108">
        <f>(F28+F29)/D26</f>
        <v>12.5</v>
      </c>
      <c r="G30" s="109"/>
      <c r="H30" s="110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11"/>
      <c r="X30" s="111"/>
    </row>
    <row r="31" spans="1:24" ht="14.4" hidden="1" outlineLevel="1" collapsed="1" x14ac:dyDescent="0.3">
      <c r="A31" s="112" t="str">
        <f>'1. BRIEFING'!A20</f>
        <v>2.6</v>
      </c>
      <c r="B31" s="113" t="str">
        <f>'1. BRIEFING'!B20</f>
        <v>DEMOLIÇÃO DE REVESTIMENTO CERÂMICO EM PISO</v>
      </c>
      <c r="C31" s="100" t="s">
        <v>163</v>
      </c>
      <c r="D31" s="112" t="str">
        <f>'1. BRIEFING'!D20</f>
        <v>1,00</v>
      </c>
      <c r="E31" s="99">
        <f>F31/D31</f>
        <v>27.5</v>
      </c>
      <c r="F31" s="99">
        <f>SUM(F33:F34)</f>
        <v>27.5</v>
      </c>
      <c r="G31" s="100" t="s">
        <v>237</v>
      </c>
      <c r="H31" s="100" t="s">
        <v>220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4" ht="14.4" hidden="1" outlineLevel="2" x14ac:dyDescent="0.3">
      <c r="A32" s="101" t="s">
        <v>240</v>
      </c>
      <c r="B32" s="102" t="s">
        <v>250</v>
      </c>
      <c r="C32" s="101" t="s">
        <v>29</v>
      </c>
      <c r="D32" s="101">
        <v>1</v>
      </c>
      <c r="E32" s="103">
        <v>20</v>
      </c>
      <c r="F32" s="104">
        <f>(E32*D32)*$D$26</f>
        <v>20</v>
      </c>
      <c r="G32" s="1">
        <v>0.25530000000000003</v>
      </c>
      <c r="H32" s="79">
        <f>J4</f>
        <v>25.25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4" ht="14.4" hidden="1" outlineLevel="2" x14ac:dyDescent="0.3">
      <c r="A33" s="101" t="s">
        <v>240</v>
      </c>
      <c r="B33" s="102" t="s">
        <v>251</v>
      </c>
      <c r="C33" s="101" t="s">
        <v>29</v>
      </c>
      <c r="D33" s="101">
        <v>1</v>
      </c>
      <c r="E33" s="103">
        <v>25</v>
      </c>
      <c r="F33" s="104">
        <f t="shared" ref="F33:F34" si="5">(E33*D33)*$D$31</f>
        <v>25</v>
      </c>
      <c r="G33" s="1">
        <v>0.71950000000000003</v>
      </c>
      <c r="H33" s="79">
        <f>H3</f>
        <v>20.420000000000002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4" ht="14.4" hidden="1" outlineLevel="2" x14ac:dyDescent="0.3">
      <c r="A34" s="101" t="s">
        <v>238</v>
      </c>
      <c r="B34" s="102" t="s">
        <v>239</v>
      </c>
      <c r="C34" s="101" t="s">
        <v>20</v>
      </c>
      <c r="D34" s="101">
        <v>1</v>
      </c>
      <c r="E34" s="103">
        <v>2.5</v>
      </c>
      <c r="F34" s="104">
        <f t="shared" si="5"/>
        <v>2.5</v>
      </c>
      <c r="G34" s="1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4" ht="14.4" hidden="1" outlineLevel="2" x14ac:dyDescent="0.3">
      <c r="A35" s="105"/>
      <c r="B35" s="106"/>
      <c r="C35" s="107" t="s">
        <v>240</v>
      </c>
      <c r="D35" s="108">
        <f>F33/D31</f>
        <v>25</v>
      </c>
      <c r="E35" s="108" t="s">
        <v>238</v>
      </c>
      <c r="F35" s="108">
        <f>F34/D31</f>
        <v>2.5</v>
      </c>
      <c r="G35" s="109"/>
      <c r="H35" s="110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11"/>
      <c r="X35" s="111"/>
    </row>
    <row r="36" spans="1:24" ht="14.4" hidden="1" outlineLevel="1" collapsed="1" x14ac:dyDescent="0.3">
      <c r="A36" s="112" t="str">
        <f>'1. BRIEFING'!A21</f>
        <v>2.7</v>
      </c>
      <c r="B36" s="113" t="str">
        <f>'1. BRIEFING'!B21</f>
        <v>DEMOLIÇÃO DE FORRO EM GESSO/PVC</v>
      </c>
      <c r="C36" s="100" t="s">
        <v>163</v>
      </c>
      <c r="D36" s="112" t="str">
        <f>'1. BRIEFING'!D21</f>
        <v>1,00</v>
      </c>
      <c r="E36" s="99">
        <f>F36/D36</f>
        <v>9.5</v>
      </c>
      <c r="F36" s="99">
        <f>SUM(F38:F39)</f>
        <v>9.5</v>
      </c>
      <c r="G36" s="100" t="s">
        <v>237</v>
      </c>
      <c r="H36" s="100" t="s">
        <v>220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4" ht="14.4" hidden="1" outlineLevel="2" x14ac:dyDescent="0.3">
      <c r="A37" s="101" t="s">
        <v>240</v>
      </c>
      <c r="B37" s="102" t="s">
        <v>252</v>
      </c>
      <c r="C37" s="101" t="s">
        <v>29</v>
      </c>
      <c r="D37" s="101">
        <v>1</v>
      </c>
      <c r="E37" s="103">
        <v>5</v>
      </c>
      <c r="F37" s="104">
        <f t="shared" ref="F37:F39" si="6">(E37*D37)*$D$36</f>
        <v>5</v>
      </c>
      <c r="G37" s="1">
        <v>7.1300000000000002E-2</v>
      </c>
      <c r="H37" s="79">
        <f>J2</f>
        <v>25.18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4" ht="14.4" hidden="1" outlineLevel="2" x14ac:dyDescent="0.3">
      <c r="A38" s="101" t="s">
        <v>240</v>
      </c>
      <c r="B38" s="102" t="s">
        <v>253</v>
      </c>
      <c r="C38" s="101" t="s">
        <v>29</v>
      </c>
      <c r="D38" s="101">
        <v>1</v>
      </c>
      <c r="E38" s="103">
        <v>7</v>
      </c>
      <c r="F38" s="104">
        <f t="shared" si="6"/>
        <v>7</v>
      </c>
      <c r="G38" s="1">
        <v>0.1401</v>
      </c>
      <c r="H38" s="79">
        <f>H3</f>
        <v>20.420000000000002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4" ht="14.4" hidden="1" outlineLevel="2" x14ac:dyDescent="0.3">
      <c r="A39" s="101" t="s">
        <v>238</v>
      </c>
      <c r="B39" s="102" t="s">
        <v>254</v>
      </c>
      <c r="C39" s="101" t="s">
        <v>20</v>
      </c>
      <c r="D39" s="101">
        <v>1</v>
      </c>
      <c r="E39" s="103">
        <v>2.5</v>
      </c>
      <c r="F39" s="104">
        <f t="shared" si="6"/>
        <v>2.5</v>
      </c>
      <c r="G39" s="1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4" ht="14.4" hidden="1" outlineLevel="2" x14ac:dyDescent="0.3">
      <c r="A40" s="105"/>
      <c r="B40" s="106"/>
      <c r="C40" s="107" t="s">
        <v>240</v>
      </c>
      <c r="D40" s="108">
        <f>F38/D36</f>
        <v>7</v>
      </c>
      <c r="E40" s="108" t="s">
        <v>238</v>
      </c>
      <c r="F40" s="108">
        <f>F39/D36</f>
        <v>2.5</v>
      </c>
      <c r="G40" s="109"/>
      <c r="H40" s="110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11"/>
      <c r="X40" s="111"/>
    </row>
    <row r="41" spans="1:24" ht="14.4" hidden="1" outlineLevel="1" collapsed="1" x14ac:dyDescent="0.3">
      <c r="A41" s="112" t="str">
        <f>'1. BRIEFING'!A22</f>
        <v>2.8</v>
      </c>
      <c r="B41" s="113" t="str">
        <f>'1. BRIEFING'!B22</f>
        <v>REMOÇÃO DE LUMINÁRIAS INTERNAS (FORRO)</v>
      </c>
      <c r="C41" s="100" t="s">
        <v>20</v>
      </c>
      <c r="D41" s="112" t="str">
        <f>'1. BRIEFING'!D22</f>
        <v>1,00</v>
      </c>
      <c r="E41" s="99">
        <f>F41/D41</f>
        <v>5</v>
      </c>
      <c r="F41" s="99">
        <f>SUM(F43:F44)</f>
        <v>5</v>
      </c>
      <c r="G41" s="100" t="s">
        <v>237</v>
      </c>
      <c r="H41" s="100" t="s">
        <v>220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4" ht="14.4" hidden="1" outlineLevel="2" x14ac:dyDescent="0.3">
      <c r="A42" s="101" t="s">
        <v>240</v>
      </c>
      <c r="B42" s="102" t="s">
        <v>255</v>
      </c>
      <c r="C42" s="101" t="s">
        <v>20</v>
      </c>
      <c r="D42" s="101">
        <v>1</v>
      </c>
      <c r="E42" s="103">
        <v>5</v>
      </c>
      <c r="F42" s="104">
        <f t="shared" ref="F42:F44" si="7">(E42*D42)*$D$41</f>
        <v>5</v>
      </c>
      <c r="G42" s="1">
        <v>1.83E-2</v>
      </c>
      <c r="H42" s="79">
        <f>J3</f>
        <v>25.69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4" ht="14.4" hidden="1" outlineLevel="2" x14ac:dyDescent="0.3">
      <c r="A43" s="101" t="s">
        <v>240</v>
      </c>
      <c r="B43" s="102" t="s">
        <v>256</v>
      </c>
      <c r="C43" s="101" t="s">
        <v>20</v>
      </c>
      <c r="D43" s="101">
        <v>1</v>
      </c>
      <c r="E43" s="103">
        <v>2.5</v>
      </c>
      <c r="F43" s="104">
        <f t="shared" si="7"/>
        <v>2.5</v>
      </c>
      <c r="G43" s="1">
        <v>3.5900000000000001E-2</v>
      </c>
      <c r="H43" s="79">
        <f>H3</f>
        <v>20.420000000000002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4" ht="14.4" hidden="1" outlineLevel="2" x14ac:dyDescent="0.3">
      <c r="A44" s="101" t="s">
        <v>238</v>
      </c>
      <c r="B44" s="102" t="s">
        <v>239</v>
      </c>
      <c r="C44" s="101" t="s">
        <v>20</v>
      </c>
      <c r="D44" s="101">
        <v>1</v>
      </c>
      <c r="E44" s="103">
        <v>2.5</v>
      </c>
      <c r="F44" s="104">
        <f t="shared" si="7"/>
        <v>2.5</v>
      </c>
      <c r="G44" s="1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4" ht="14.4" hidden="1" outlineLevel="2" x14ac:dyDescent="0.3">
      <c r="A45" s="105"/>
      <c r="B45" s="106"/>
      <c r="C45" s="107" t="s">
        <v>240</v>
      </c>
      <c r="D45" s="108">
        <f>F43/D41</f>
        <v>2.5</v>
      </c>
      <c r="E45" s="108" t="s">
        <v>238</v>
      </c>
      <c r="F45" s="108">
        <f>F44/D41</f>
        <v>2.5</v>
      </c>
      <c r="G45" s="109"/>
      <c r="H45" s="110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11"/>
      <c r="X45" s="111"/>
    </row>
    <row r="46" spans="1:24" ht="14.4" hidden="1" outlineLevel="1" collapsed="1" x14ac:dyDescent="0.3">
      <c r="A46" s="112" t="str">
        <f>'1. BRIEFING'!A23</f>
        <v>2.9</v>
      </c>
      <c r="B46" s="113" t="str">
        <f>'1. BRIEFING'!B23</f>
        <v>REMOÇÃO DOS ENTULHOS POR SACOS E CARRO PEQUENO</v>
      </c>
      <c r="C46" s="100" t="s">
        <v>20</v>
      </c>
      <c r="D46" s="112" t="str">
        <f>'1. BRIEFING'!D23</f>
        <v>1,00</v>
      </c>
      <c r="E46" s="99">
        <f>F46/D46</f>
        <v>200</v>
      </c>
      <c r="F46" s="99">
        <f>SUM(F47:F48)</f>
        <v>200</v>
      </c>
      <c r="G46" s="100" t="s">
        <v>237</v>
      </c>
      <c r="H46" s="100" t="s">
        <v>220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4" ht="14.4" hidden="1" outlineLevel="2" x14ac:dyDescent="0.3">
      <c r="A47" s="101" t="s">
        <v>240</v>
      </c>
      <c r="B47" s="102" t="s">
        <v>257</v>
      </c>
      <c r="C47" s="101" t="s">
        <v>20</v>
      </c>
      <c r="D47" s="101">
        <v>1</v>
      </c>
      <c r="E47" s="103">
        <v>80</v>
      </c>
      <c r="F47" s="104">
        <f t="shared" ref="F47:F48" si="8">(E47*D47)*$D$46</f>
        <v>80</v>
      </c>
      <c r="G47" s="1">
        <v>0.10199999999999999</v>
      </c>
      <c r="H47" s="79">
        <f>H3</f>
        <v>20.420000000000002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4" ht="14.4" hidden="1" outlineLevel="2" x14ac:dyDescent="0.3">
      <c r="A48" s="101" t="s">
        <v>258</v>
      </c>
      <c r="B48" s="102" t="s">
        <v>259</v>
      </c>
      <c r="C48" s="101" t="s">
        <v>20</v>
      </c>
      <c r="D48" s="101">
        <v>1</v>
      </c>
      <c r="E48" s="103">
        <v>120</v>
      </c>
      <c r="F48" s="104">
        <f t="shared" si="8"/>
        <v>120</v>
      </c>
      <c r="G48" s="1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4" ht="14.4" hidden="1" outlineLevel="2" x14ac:dyDescent="0.3">
      <c r="A49" s="105"/>
      <c r="B49" s="106"/>
      <c r="C49" s="107" t="s">
        <v>240</v>
      </c>
      <c r="D49" s="108">
        <f>F47/D46</f>
        <v>80</v>
      </c>
      <c r="E49" s="108" t="s">
        <v>258</v>
      </c>
      <c r="F49" s="108">
        <f>F48/D46</f>
        <v>120</v>
      </c>
      <c r="G49" s="109"/>
      <c r="H49" s="110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11"/>
      <c r="X49" s="111"/>
    </row>
    <row r="50" spans="1:24" ht="14.4" x14ac:dyDescent="0.3">
      <c r="A50" s="115">
        <f>'1. BRIEFING'!A24</f>
        <v>3</v>
      </c>
      <c r="B50" s="116" t="str">
        <f>'1. BRIEFING'!B24</f>
        <v>SERVIÇO EM ALVENARIA</v>
      </c>
      <c r="C50" s="117"/>
      <c r="D50" s="117"/>
      <c r="E50" s="118"/>
      <c r="F50" s="118"/>
      <c r="G50" s="118"/>
      <c r="H50" s="119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4" ht="14.4" outlineLevel="1" x14ac:dyDescent="0.3">
      <c r="A51" s="95" t="str">
        <f>'1. BRIEFING'!A25</f>
        <v>3.1</v>
      </c>
      <c r="B51" s="120" t="str">
        <f>'1. BRIEFING'!B25</f>
        <v>ASSENTAMENTO DE ALVENARIA DE VEDAÇÃO</v>
      </c>
      <c r="C51" s="97" t="s">
        <v>163</v>
      </c>
      <c r="D51" s="121">
        <f>'1. BRIEFING'!D25</f>
        <v>1</v>
      </c>
      <c r="E51" s="98">
        <f>F51/D51</f>
        <v>70.284256400000004</v>
      </c>
      <c r="F51" s="98">
        <f>SUM(F52:F57)</f>
        <v>70.284256400000004</v>
      </c>
      <c r="G51" s="100" t="s">
        <v>237</v>
      </c>
      <c r="H51" s="100" t="s">
        <v>220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4" ht="14.4" outlineLevel="1" x14ac:dyDescent="0.3">
      <c r="A52" s="101" t="s">
        <v>240</v>
      </c>
      <c r="B52" s="102" t="s">
        <v>260</v>
      </c>
      <c r="C52" s="101" t="s">
        <v>29</v>
      </c>
      <c r="D52" s="122">
        <v>1</v>
      </c>
      <c r="E52" s="103">
        <v>30</v>
      </c>
      <c r="F52" s="104">
        <f t="shared" ref="F52:F57" si="9">(E52*D52)*$D$51</f>
        <v>30</v>
      </c>
      <c r="G52" s="1">
        <v>1.61</v>
      </c>
      <c r="H52" s="79">
        <f t="shared" ref="H52:H53" si="10">H2</f>
        <v>25.38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4" ht="14.4" outlineLevel="1" x14ac:dyDescent="0.3">
      <c r="A53" s="101" t="s">
        <v>240</v>
      </c>
      <c r="B53" s="102" t="s">
        <v>261</v>
      </c>
      <c r="C53" s="101" t="s">
        <v>29</v>
      </c>
      <c r="D53" s="122">
        <v>1</v>
      </c>
      <c r="E53" s="103">
        <v>0</v>
      </c>
      <c r="F53" s="104">
        <f t="shared" si="9"/>
        <v>0</v>
      </c>
      <c r="G53" s="1">
        <v>0.80500000000000005</v>
      </c>
      <c r="H53" s="79">
        <f t="shared" si="10"/>
        <v>20.420000000000002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4" ht="14.4" outlineLevel="1" x14ac:dyDescent="0.3">
      <c r="A54" s="101" t="s">
        <v>238</v>
      </c>
      <c r="B54" s="102" t="s">
        <v>262</v>
      </c>
      <c r="C54" s="101" t="s">
        <v>8</v>
      </c>
      <c r="D54" s="122">
        <v>28.31</v>
      </c>
      <c r="E54" s="103">
        <v>0.9</v>
      </c>
      <c r="F54" s="104">
        <f t="shared" si="9"/>
        <v>25.478999999999999</v>
      </c>
      <c r="G54" s="1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4" ht="14.4" outlineLevel="1" x14ac:dyDescent="0.3">
      <c r="A55" s="101" t="s">
        <v>238</v>
      </c>
      <c r="B55" s="102" t="s">
        <v>263</v>
      </c>
      <c r="C55" s="101" t="s">
        <v>264</v>
      </c>
      <c r="D55" s="122">
        <v>8.0000000000000002E-3</v>
      </c>
      <c r="E55" s="103">
        <f>F355</f>
        <v>1580.2857999999999</v>
      </c>
      <c r="F55" s="104">
        <f t="shared" si="9"/>
        <v>12.6422864</v>
      </c>
      <c r="G55" s="1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4" ht="14.4" outlineLevel="1" x14ac:dyDescent="0.3">
      <c r="A56" s="123" t="s">
        <v>238</v>
      </c>
      <c r="B56" s="106" t="s">
        <v>265</v>
      </c>
      <c r="C56" s="124" t="s">
        <v>105</v>
      </c>
      <c r="D56" s="124">
        <v>0.6</v>
      </c>
      <c r="E56" s="103">
        <v>3</v>
      </c>
      <c r="F56" s="104">
        <f t="shared" si="9"/>
        <v>1.7999999999999998</v>
      </c>
      <c r="G56" s="109"/>
      <c r="H56" s="110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11"/>
      <c r="X56" s="111"/>
    </row>
    <row r="57" spans="1:24" ht="14.4" outlineLevel="1" x14ac:dyDescent="0.3">
      <c r="A57" s="123" t="s">
        <v>238</v>
      </c>
      <c r="B57" s="106" t="s">
        <v>266</v>
      </c>
      <c r="C57" s="125" t="s">
        <v>267</v>
      </c>
      <c r="D57" s="124">
        <v>8.9999999999999993E-3</v>
      </c>
      <c r="E57" s="103">
        <v>40.33</v>
      </c>
      <c r="F57" s="104">
        <f t="shared" si="9"/>
        <v>0.36296999999999996</v>
      </c>
      <c r="G57" s="109"/>
      <c r="H57" s="110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11"/>
      <c r="X57" s="111"/>
    </row>
    <row r="58" spans="1:24" ht="14.4" outlineLevel="1" x14ac:dyDescent="0.3">
      <c r="A58" s="105"/>
      <c r="B58" s="106"/>
      <c r="C58" s="107" t="s">
        <v>240</v>
      </c>
      <c r="D58" s="108">
        <f>SUM(F52:F53)/D51</f>
        <v>30</v>
      </c>
      <c r="E58" s="108" t="s">
        <v>238</v>
      </c>
      <c r="F58" s="108">
        <f>SUM(F54:F57)/D51</f>
        <v>40.284256399999997</v>
      </c>
      <c r="G58" s="109"/>
      <c r="H58" s="110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11"/>
      <c r="X58" s="111"/>
    </row>
    <row r="59" spans="1:24" ht="14.4" collapsed="1" x14ac:dyDescent="0.3">
      <c r="A59" s="115">
        <f>'1. BRIEFING'!A29</f>
        <v>4</v>
      </c>
      <c r="B59" s="116" t="str">
        <f>'1. BRIEFING'!B29</f>
        <v>INSTALAÇÃO HIDRÁULICA</v>
      </c>
      <c r="C59" s="117"/>
      <c r="D59" s="117"/>
      <c r="E59" s="118"/>
      <c r="F59" s="118"/>
      <c r="G59" s="94"/>
      <c r="H59" s="9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4" ht="14.4" hidden="1" outlineLevel="1" collapsed="1" x14ac:dyDescent="0.3">
      <c r="A60" s="95" t="str">
        <f>'1. BRIEFING'!A30</f>
        <v>4.1</v>
      </c>
      <c r="B60" s="120" t="str">
        <f>'1. BRIEFING'!B30</f>
        <v>INSTALAÇAO DE PONTO DE ÁGUA FRIA</v>
      </c>
      <c r="C60" s="97" t="s">
        <v>20</v>
      </c>
      <c r="D60" s="121">
        <f>'1. BRIEFING'!D30</f>
        <v>10</v>
      </c>
      <c r="E60" s="98">
        <f>F60/D60</f>
        <v>70.723160000000007</v>
      </c>
      <c r="F60" s="98">
        <f>SUM(F61:F68)</f>
        <v>707.23160000000007</v>
      </c>
      <c r="G60" s="1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4" ht="14.4" hidden="1" outlineLevel="2" x14ac:dyDescent="0.3">
      <c r="A61" s="101" t="s">
        <v>240</v>
      </c>
      <c r="B61" s="102" t="s">
        <v>268</v>
      </c>
      <c r="C61" s="101" t="s">
        <v>20</v>
      </c>
      <c r="D61" s="101">
        <v>1</v>
      </c>
      <c r="E61" s="103">
        <v>50</v>
      </c>
      <c r="F61" s="104">
        <f t="shared" ref="F61:F68" si="11">(E61*D61)*$D$60</f>
        <v>500</v>
      </c>
      <c r="G61" s="1">
        <f>0.38+0.15+0.15+0.2+0.07+0.05</f>
        <v>1.0000000000000002</v>
      </c>
      <c r="H61" s="79">
        <f t="shared" ref="H61:H62" si="12">H4</f>
        <v>24.63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4" ht="14.4" hidden="1" outlineLevel="2" x14ac:dyDescent="0.3">
      <c r="A62" s="101" t="s">
        <v>240</v>
      </c>
      <c r="B62" s="126" t="s">
        <v>269</v>
      </c>
      <c r="C62" s="122" t="s">
        <v>20</v>
      </c>
      <c r="D62" s="122">
        <v>1</v>
      </c>
      <c r="E62" s="103">
        <v>0</v>
      </c>
      <c r="F62" s="104">
        <f t="shared" si="11"/>
        <v>0</v>
      </c>
      <c r="G62" s="1">
        <f>0.38+0.15+0.15+0.2+0.45+0.4</f>
        <v>1.73</v>
      </c>
      <c r="H62" s="79">
        <f t="shared" si="12"/>
        <v>19.82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4" ht="14.4" hidden="1" outlineLevel="2" x14ac:dyDescent="0.3">
      <c r="A63" s="101" t="s">
        <v>238</v>
      </c>
      <c r="B63" s="126" t="s">
        <v>270</v>
      </c>
      <c r="C63" s="122" t="s">
        <v>20</v>
      </c>
      <c r="D63" s="122">
        <v>8.0000000000000002E-3</v>
      </c>
      <c r="E63" s="103">
        <v>3.52</v>
      </c>
      <c r="F63" s="104">
        <f t="shared" si="11"/>
        <v>0.28160000000000002</v>
      </c>
      <c r="G63" s="1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4" ht="14.4" hidden="1" outlineLevel="2" x14ac:dyDescent="0.3">
      <c r="A64" s="101" t="s">
        <v>238</v>
      </c>
      <c r="B64" s="126" t="s">
        <v>271</v>
      </c>
      <c r="C64" s="122" t="s">
        <v>105</v>
      </c>
      <c r="D64" s="122">
        <v>2</v>
      </c>
      <c r="E64" s="103">
        <v>4.5</v>
      </c>
      <c r="F64" s="104">
        <f t="shared" si="11"/>
        <v>90</v>
      </c>
      <c r="G64" s="1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4" ht="14.4" hidden="1" outlineLevel="2" x14ac:dyDescent="0.3">
      <c r="A65" s="101" t="s">
        <v>238</v>
      </c>
      <c r="B65" s="126" t="s">
        <v>272</v>
      </c>
      <c r="C65" s="122" t="s">
        <v>20</v>
      </c>
      <c r="D65" s="122">
        <v>1</v>
      </c>
      <c r="E65" s="103">
        <v>0.77</v>
      </c>
      <c r="F65" s="104">
        <f t="shared" si="11"/>
        <v>7.7</v>
      </c>
      <c r="G65" s="1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4" ht="14.4" hidden="1" outlineLevel="2" x14ac:dyDescent="0.3">
      <c r="A66" s="101" t="s">
        <v>238</v>
      </c>
      <c r="B66" s="126" t="s">
        <v>273</v>
      </c>
      <c r="C66" s="122" t="s">
        <v>20</v>
      </c>
      <c r="D66" s="122">
        <v>0.21</v>
      </c>
      <c r="E66" s="103">
        <v>2.5</v>
      </c>
      <c r="F66" s="104">
        <f t="shared" si="11"/>
        <v>5.25</v>
      </c>
      <c r="G66" s="1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4" ht="14.4" hidden="1" outlineLevel="2" x14ac:dyDescent="0.3">
      <c r="A67" s="101" t="s">
        <v>238</v>
      </c>
      <c r="B67" s="126" t="s">
        <v>274</v>
      </c>
      <c r="C67" s="122" t="s">
        <v>20</v>
      </c>
      <c r="D67" s="122">
        <v>1</v>
      </c>
      <c r="E67" s="103">
        <v>8.9</v>
      </c>
      <c r="F67" s="104">
        <f t="shared" si="11"/>
        <v>89</v>
      </c>
      <c r="G67" s="109"/>
      <c r="H67" s="110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11"/>
      <c r="X67" s="111"/>
    </row>
    <row r="68" spans="1:24" ht="14.4" hidden="1" outlineLevel="2" x14ac:dyDescent="0.3">
      <c r="A68" s="101" t="s">
        <v>238</v>
      </c>
      <c r="B68" s="126" t="s">
        <v>275</v>
      </c>
      <c r="C68" s="122" t="s">
        <v>20</v>
      </c>
      <c r="D68" s="122">
        <v>1</v>
      </c>
      <c r="E68" s="103">
        <v>1.5</v>
      </c>
      <c r="F68" s="104">
        <f t="shared" si="11"/>
        <v>15</v>
      </c>
      <c r="G68" s="109"/>
      <c r="H68" s="110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11"/>
      <c r="X68" s="111"/>
    </row>
    <row r="69" spans="1:24" ht="14.4" hidden="1" outlineLevel="2" x14ac:dyDescent="0.3">
      <c r="A69" s="105"/>
      <c r="B69" s="106"/>
      <c r="C69" s="107" t="s">
        <v>240</v>
      </c>
      <c r="D69" s="108">
        <f>SUM(F61:F62)/D60</f>
        <v>50</v>
      </c>
      <c r="E69" s="108" t="s">
        <v>238</v>
      </c>
      <c r="F69" s="108">
        <f>SUM(F63:F68)/D60</f>
        <v>20.72316</v>
      </c>
      <c r="G69" s="109"/>
      <c r="H69" s="110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11"/>
      <c r="X69" s="111"/>
    </row>
    <row r="70" spans="1:24" ht="14.4" hidden="1" outlineLevel="1" collapsed="1" x14ac:dyDescent="0.3">
      <c r="A70" s="112" t="str">
        <f>'1. BRIEFING'!A31</f>
        <v>4.2</v>
      </c>
      <c r="B70" s="113" t="str">
        <f>'1. BRIEFING'!B31</f>
        <v>INSTALAÇÃO DE PONTO DE ESGOTO 50 MM</v>
      </c>
      <c r="C70" s="100" t="s">
        <v>20</v>
      </c>
      <c r="D70" s="127">
        <f>'1. BRIEFING'!D31</f>
        <v>1</v>
      </c>
      <c r="E70" s="99">
        <f>F70/D70</f>
        <v>335.14478400000002</v>
      </c>
      <c r="F70" s="99">
        <f>SUM(F71:F81)</f>
        <v>335.14478400000002</v>
      </c>
      <c r="G70" s="1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4" ht="14.4" hidden="1" outlineLevel="2" x14ac:dyDescent="0.3">
      <c r="A71" s="101" t="s">
        <v>240</v>
      </c>
      <c r="B71" s="128" t="s">
        <v>276</v>
      </c>
      <c r="C71" s="101" t="s">
        <v>20</v>
      </c>
      <c r="D71" s="101">
        <v>1</v>
      </c>
      <c r="E71" s="103">
        <v>50</v>
      </c>
      <c r="F71" s="104">
        <f t="shared" ref="F71:F78" si="13">(E71*D71)*$D$70</f>
        <v>50</v>
      </c>
      <c r="G71" s="1">
        <f>0.3182+0.14+0.14+0.09+1.2</f>
        <v>1.8881999999999999</v>
      </c>
      <c r="H71" s="80">
        <f t="shared" ref="H71:H72" si="14">H4</f>
        <v>24.63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4.4" hidden="1" outlineLevel="2" x14ac:dyDescent="0.3">
      <c r="A72" s="101" t="s">
        <v>240</v>
      </c>
      <c r="B72" s="128" t="s">
        <v>277</v>
      </c>
      <c r="C72" s="101" t="s">
        <v>20</v>
      </c>
      <c r="D72" s="101">
        <v>1</v>
      </c>
      <c r="E72" s="103">
        <v>20</v>
      </c>
      <c r="F72" s="104">
        <f t="shared" si="13"/>
        <v>20</v>
      </c>
      <c r="G72" s="1">
        <f>0.3182+0.14+0.14+0.09+0.187</f>
        <v>0.87519999999999998</v>
      </c>
      <c r="H72" s="80">
        <f t="shared" si="14"/>
        <v>19.82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4.4" hidden="1" outlineLevel="2" x14ac:dyDescent="0.3">
      <c r="A73" s="101" t="s">
        <v>238</v>
      </c>
      <c r="B73" s="129" t="s">
        <v>278</v>
      </c>
      <c r="C73" s="122" t="s">
        <v>20</v>
      </c>
      <c r="D73" s="122">
        <v>0.05</v>
      </c>
      <c r="E73" s="103">
        <v>23.81</v>
      </c>
      <c r="F73" s="104">
        <f t="shared" si="13"/>
        <v>1.1904999999999999</v>
      </c>
      <c r="G73" s="1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4" ht="14.4" hidden="1" outlineLevel="2" x14ac:dyDescent="0.3">
      <c r="A74" s="101" t="s">
        <v>238</v>
      </c>
      <c r="B74" s="129" t="s">
        <v>279</v>
      </c>
      <c r="C74" s="122" t="s">
        <v>20</v>
      </c>
      <c r="D74" s="122">
        <v>1</v>
      </c>
      <c r="E74" s="103">
        <v>15.57</v>
      </c>
      <c r="F74" s="104">
        <f t="shared" si="13"/>
        <v>15.57</v>
      </c>
      <c r="G74" s="1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4" ht="14.4" hidden="1" outlineLevel="2" x14ac:dyDescent="0.3">
      <c r="A75" s="101" t="s">
        <v>238</v>
      </c>
      <c r="B75" s="129" t="s">
        <v>280</v>
      </c>
      <c r="C75" s="122" t="s">
        <v>20</v>
      </c>
      <c r="D75" s="122">
        <v>1</v>
      </c>
      <c r="E75" s="103">
        <v>2.2999999999999998</v>
      </c>
      <c r="F75" s="104">
        <f t="shared" si="13"/>
        <v>2.2999999999999998</v>
      </c>
      <c r="G75" s="1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4" ht="14.4" hidden="1" outlineLevel="2" x14ac:dyDescent="0.3">
      <c r="A76" s="101" t="s">
        <v>238</v>
      </c>
      <c r="B76" s="129" t="s">
        <v>281</v>
      </c>
      <c r="C76" s="122" t="s">
        <v>105</v>
      </c>
      <c r="D76" s="122">
        <v>3</v>
      </c>
      <c r="E76" s="103">
        <v>8.85</v>
      </c>
      <c r="F76" s="104">
        <f t="shared" si="13"/>
        <v>26.549999999999997</v>
      </c>
      <c r="G76" s="1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4" ht="14.4" hidden="1" outlineLevel="2" x14ac:dyDescent="0.3">
      <c r="A77" s="101" t="s">
        <v>238</v>
      </c>
      <c r="B77" s="129" t="s">
        <v>282</v>
      </c>
      <c r="C77" s="122" t="s">
        <v>20</v>
      </c>
      <c r="D77" s="122">
        <v>1</v>
      </c>
      <c r="E77" s="103">
        <v>16.239999999999998</v>
      </c>
      <c r="F77" s="104">
        <f t="shared" si="13"/>
        <v>16.239999999999998</v>
      </c>
      <c r="G77" s="1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4" ht="14.4" hidden="1" outlineLevel="2" x14ac:dyDescent="0.3">
      <c r="A78" s="101" t="s">
        <v>238</v>
      </c>
      <c r="B78" s="126" t="s">
        <v>283</v>
      </c>
      <c r="C78" s="122" t="s">
        <v>20</v>
      </c>
      <c r="D78" s="122">
        <v>1</v>
      </c>
      <c r="E78" s="103">
        <v>2.93</v>
      </c>
      <c r="F78" s="104">
        <f t="shared" si="13"/>
        <v>2.93</v>
      </c>
      <c r="G78" s="1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4" ht="14.4" hidden="1" outlineLevel="2" x14ac:dyDescent="0.3">
      <c r="A79" s="101" t="s">
        <v>238</v>
      </c>
      <c r="B79" s="126" t="s">
        <v>273</v>
      </c>
      <c r="C79" s="122" t="s">
        <v>20</v>
      </c>
      <c r="D79" s="122">
        <v>3</v>
      </c>
      <c r="E79" s="103">
        <v>2.2999999999999998</v>
      </c>
      <c r="F79" s="104">
        <f t="shared" ref="F79:F81" si="15">(E79*D79)*$D$60</f>
        <v>69</v>
      </c>
      <c r="G79" s="1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4" ht="14.4" hidden="1" outlineLevel="2" x14ac:dyDescent="0.3">
      <c r="A80" s="123" t="s">
        <v>238</v>
      </c>
      <c r="B80" s="106" t="s">
        <v>284</v>
      </c>
      <c r="C80" s="122" t="s">
        <v>20</v>
      </c>
      <c r="D80" s="122">
        <v>4</v>
      </c>
      <c r="E80" s="103">
        <v>2.2999999999999998</v>
      </c>
      <c r="F80" s="104">
        <f t="shared" si="15"/>
        <v>92</v>
      </c>
      <c r="G80" s="109"/>
      <c r="H80" s="110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11"/>
      <c r="X80" s="111"/>
    </row>
    <row r="81" spans="1:24" ht="14.4" hidden="1" outlineLevel="2" x14ac:dyDescent="0.3">
      <c r="A81" s="123" t="s">
        <v>238</v>
      </c>
      <c r="B81" s="106" t="s">
        <v>285</v>
      </c>
      <c r="C81" s="122" t="s">
        <v>264</v>
      </c>
      <c r="D81" s="122">
        <v>6.0000000000000001E-3</v>
      </c>
      <c r="E81" s="103">
        <f>F361</f>
        <v>656.07140000000004</v>
      </c>
      <c r="F81" s="104">
        <f t="shared" si="15"/>
        <v>39.364284000000005</v>
      </c>
      <c r="G81" s="109"/>
      <c r="H81" s="110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11"/>
      <c r="X81" s="111"/>
    </row>
    <row r="82" spans="1:24" ht="14.4" hidden="1" outlineLevel="2" x14ac:dyDescent="0.3">
      <c r="A82" s="105"/>
      <c r="B82" s="106"/>
      <c r="C82" s="107" t="s">
        <v>240</v>
      </c>
      <c r="D82" s="108">
        <f>SUM(F71:F72)/D70</f>
        <v>70</v>
      </c>
      <c r="E82" s="108" t="s">
        <v>238</v>
      </c>
      <c r="F82" s="108">
        <f>SUM(F73:F81)/D70</f>
        <v>265.14478400000002</v>
      </c>
      <c r="G82" s="109"/>
      <c r="H82" s="110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11"/>
      <c r="X82" s="111"/>
    </row>
    <row r="83" spans="1:24" ht="14.4" hidden="1" outlineLevel="1" collapsed="1" x14ac:dyDescent="0.3">
      <c r="A83" s="112" t="str">
        <f>'1. BRIEFING'!A32</f>
        <v>4.3</v>
      </c>
      <c r="B83" s="113" t="str">
        <f>'1. BRIEFING'!B32</f>
        <v>RELOCAÇÃO DE PONTO DE ESGOTO 100 MM</v>
      </c>
      <c r="C83" s="100" t="s">
        <v>20</v>
      </c>
      <c r="D83" s="127">
        <f>'1. BRIEFING'!D32</f>
        <v>1</v>
      </c>
      <c r="E83" s="99">
        <f>F83/D83</f>
        <v>193.08539999999999</v>
      </c>
      <c r="F83" s="99">
        <f>SUM(F84:F88)</f>
        <v>193.08539999999999</v>
      </c>
      <c r="G83" s="1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4" ht="14.4" hidden="1" outlineLevel="2" x14ac:dyDescent="0.3">
      <c r="A84" s="101" t="s">
        <v>240</v>
      </c>
      <c r="B84" s="129" t="s">
        <v>286</v>
      </c>
      <c r="C84" s="122" t="s">
        <v>20</v>
      </c>
      <c r="D84" s="122">
        <v>1</v>
      </c>
      <c r="E84" s="103">
        <v>75</v>
      </c>
      <c r="F84" s="104">
        <f t="shared" ref="F84:F87" si="16">(E84*D84)*$D$83</f>
        <v>75</v>
      </c>
      <c r="G84" s="1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4" ht="14.4" hidden="1" outlineLevel="2" x14ac:dyDescent="0.3">
      <c r="A85" s="101" t="s">
        <v>238</v>
      </c>
      <c r="B85" s="129" t="s">
        <v>278</v>
      </c>
      <c r="C85" s="122" t="s">
        <v>20</v>
      </c>
      <c r="D85" s="122">
        <v>0.08</v>
      </c>
      <c r="E85" s="103">
        <v>2.88</v>
      </c>
      <c r="F85" s="104">
        <f t="shared" si="16"/>
        <v>0.23039999999999999</v>
      </c>
      <c r="G85" s="1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4" ht="14.4" hidden="1" outlineLevel="2" x14ac:dyDescent="0.3">
      <c r="A86" s="101" t="s">
        <v>238</v>
      </c>
      <c r="B86" s="129" t="s">
        <v>287</v>
      </c>
      <c r="C86" s="122" t="s">
        <v>20</v>
      </c>
      <c r="D86" s="122">
        <v>1</v>
      </c>
      <c r="E86" s="103">
        <v>50</v>
      </c>
      <c r="F86" s="104">
        <f t="shared" si="16"/>
        <v>50</v>
      </c>
      <c r="G86" s="1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4" ht="14.4" hidden="1" outlineLevel="2" x14ac:dyDescent="0.3">
      <c r="A87" s="101" t="s">
        <v>238</v>
      </c>
      <c r="B87" s="129" t="s">
        <v>288</v>
      </c>
      <c r="C87" s="122" t="s">
        <v>105</v>
      </c>
      <c r="D87" s="122">
        <v>2</v>
      </c>
      <c r="E87" s="103">
        <v>26</v>
      </c>
      <c r="F87" s="104">
        <f t="shared" si="16"/>
        <v>52</v>
      </c>
      <c r="G87" s="1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4" ht="14.4" hidden="1" outlineLevel="2" x14ac:dyDescent="0.3">
      <c r="A88" s="101" t="s">
        <v>238</v>
      </c>
      <c r="B88" s="126" t="s">
        <v>273</v>
      </c>
      <c r="C88" s="122" t="s">
        <v>20</v>
      </c>
      <c r="D88" s="122">
        <v>0.21</v>
      </c>
      <c r="E88" s="103">
        <v>7.55</v>
      </c>
      <c r="F88" s="104">
        <f>(E88*D88)*$D$60</f>
        <v>15.854999999999999</v>
      </c>
      <c r="G88" s="1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4" ht="14.4" hidden="1" outlineLevel="2" x14ac:dyDescent="0.3">
      <c r="A89" s="105"/>
      <c r="B89" s="106"/>
      <c r="C89" s="125"/>
      <c r="D89" s="130">
        <f>F84/D83</f>
        <v>75</v>
      </c>
      <c r="E89" s="130" t="s">
        <v>238</v>
      </c>
      <c r="F89" s="130">
        <f>SUM(F85:F87)/D83</f>
        <v>102.2304</v>
      </c>
      <c r="G89" s="109"/>
      <c r="H89" s="110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11"/>
      <c r="X89" s="111"/>
    </row>
    <row r="90" spans="1:24" ht="14.4" hidden="1" outlineLevel="1" collapsed="1" x14ac:dyDescent="0.3">
      <c r="A90" s="112" t="str">
        <f>'1. BRIEFING'!A33</f>
        <v>4.4</v>
      </c>
      <c r="B90" s="113" t="str">
        <f>'1. BRIEFING'!B33</f>
        <v>INSTALAÇÃO DE PONTO DE REGISTRO DE GAVETA</v>
      </c>
      <c r="C90" s="100" t="s">
        <v>20</v>
      </c>
      <c r="D90" s="127">
        <f>'1. BRIEFING'!D33</f>
        <v>1</v>
      </c>
      <c r="E90" s="99">
        <f>F90/D90</f>
        <v>145</v>
      </c>
      <c r="F90" s="99">
        <f>SUM(F91:F92)</f>
        <v>145</v>
      </c>
      <c r="G90" s="1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4" ht="14.4" hidden="1" outlineLevel="2" x14ac:dyDescent="0.3">
      <c r="A91" s="101" t="s">
        <v>240</v>
      </c>
      <c r="B91" s="102" t="s">
        <v>289</v>
      </c>
      <c r="C91" s="101" t="s">
        <v>20</v>
      </c>
      <c r="D91" s="101">
        <v>1</v>
      </c>
      <c r="E91" s="103">
        <v>75</v>
      </c>
      <c r="F91" s="104">
        <f t="shared" ref="F91:F92" si="17">(E91*D91)*$D$83</f>
        <v>75</v>
      </c>
      <c r="G91" s="1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4" ht="14.4" hidden="1" outlineLevel="2" x14ac:dyDescent="0.3">
      <c r="A92" s="101" t="s">
        <v>238</v>
      </c>
      <c r="B92" s="129" t="s">
        <v>290</v>
      </c>
      <c r="C92" s="101" t="s">
        <v>20</v>
      </c>
      <c r="D92" s="122">
        <v>1</v>
      </c>
      <c r="E92" s="103">
        <v>70</v>
      </c>
      <c r="F92" s="104">
        <f t="shared" si="17"/>
        <v>70</v>
      </c>
      <c r="G92" s="1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4" ht="14.4" hidden="1" outlineLevel="2" x14ac:dyDescent="0.3">
      <c r="A93" s="105"/>
      <c r="B93" s="106"/>
      <c r="C93" s="125"/>
      <c r="D93" s="130">
        <f>F91/D90</f>
        <v>75</v>
      </c>
      <c r="E93" s="130" t="s">
        <v>238</v>
      </c>
      <c r="F93" s="130">
        <f>SUM(F92)/D90</f>
        <v>70</v>
      </c>
      <c r="G93" s="109"/>
      <c r="H93" s="110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11"/>
      <c r="X93" s="111"/>
    </row>
    <row r="94" spans="1:24" ht="14.4" hidden="1" outlineLevel="1" collapsed="1" x14ac:dyDescent="0.3">
      <c r="A94" s="112" t="str">
        <f>'1. BRIEFING'!A34</f>
        <v>4.5</v>
      </c>
      <c r="B94" s="113" t="str">
        <f>'1. BRIEFING'!B34</f>
        <v>INSTALAÇÃO DE PONTO DE REGISTRO DE PRESSÃO</v>
      </c>
      <c r="C94" s="100" t="str">
        <f>'1. BRIEFING'!C34</f>
        <v>UN</v>
      </c>
      <c r="D94" s="127">
        <f>'1. BRIEFING'!D34</f>
        <v>1</v>
      </c>
      <c r="E94" s="99">
        <f>F94/D94</f>
        <v>145</v>
      </c>
      <c r="F94" s="99">
        <f>SUM(F95:F96)</f>
        <v>145</v>
      </c>
      <c r="G94" s="1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4" ht="14.4" hidden="1" outlineLevel="2" x14ac:dyDescent="0.3">
      <c r="A95" s="101" t="s">
        <v>240</v>
      </c>
      <c r="B95" s="102" t="s">
        <v>291</v>
      </c>
      <c r="C95" s="101" t="s">
        <v>20</v>
      </c>
      <c r="D95" s="101">
        <v>1</v>
      </c>
      <c r="E95" s="103">
        <v>75</v>
      </c>
      <c r="F95" s="104">
        <f t="shared" ref="F95:F96" si="18">(E95*D95)*$D$83</f>
        <v>75</v>
      </c>
      <c r="G95" s="1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4" ht="14.4" hidden="1" outlineLevel="2" x14ac:dyDescent="0.3">
      <c r="A96" s="101" t="s">
        <v>238</v>
      </c>
      <c r="B96" s="129" t="s">
        <v>292</v>
      </c>
      <c r="C96" s="101" t="s">
        <v>20</v>
      </c>
      <c r="D96" s="122">
        <v>1</v>
      </c>
      <c r="E96" s="103">
        <v>70</v>
      </c>
      <c r="F96" s="104">
        <f t="shared" si="18"/>
        <v>70</v>
      </c>
      <c r="G96" s="1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4" ht="14.4" hidden="1" outlineLevel="2" x14ac:dyDescent="0.3">
      <c r="A97" s="105"/>
      <c r="B97" s="106"/>
      <c r="C97" s="125"/>
      <c r="D97" s="130">
        <f>F95/D94</f>
        <v>75</v>
      </c>
      <c r="E97" s="130" t="s">
        <v>238</v>
      </c>
      <c r="F97" s="130">
        <f>SUM(F96)/D94</f>
        <v>70</v>
      </c>
      <c r="G97" s="109"/>
      <c r="H97" s="110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11"/>
      <c r="X97" s="111"/>
    </row>
    <row r="98" spans="1:24" ht="14.4" collapsed="1" x14ac:dyDescent="0.3">
      <c r="A98" s="115">
        <f>'1. BRIEFING'!A35</f>
        <v>5</v>
      </c>
      <c r="B98" s="116" t="str">
        <f>'1. BRIEFING'!B35</f>
        <v>INSTALAÇÃO ELÉTRICA</v>
      </c>
      <c r="C98" s="117"/>
      <c r="D98" s="117"/>
      <c r="E98" s="118"/>
      <c r="F98" s="118"/>
      <c r="G98" s="94"/>
      <c r="H98" s="9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4" ht="14.4" hidden="1" outlineLevel="1" collapsed="1" x14ac:dyDescent="0.3">
      <c r="A99" s="95" t="str">
        <f>'1. BRIEFING'!A36</f>
        <v>5.1</v>
      </c>
      <c r="B99" s="120" t="str">
        <f>'1. BRIEFING'!B36</f>
        <v>INSTALAÇÃO DE INFRAESTRUTURA PARA TOMADA E ILUMINAÇÃO</v>
      </c>
      <c r="C99" s="97" t="s">
        <v>20</v>
      </c>
      <c r="D99" s="121">
        <f>'1. BRIEFING'!D36</f>
        <v>1</v>
      </c>
      <c r="E99" s="98">
        <f>F99/D99</f>
        <v>57</v>
      </c>
      <c r="F99" s="98">
        <f>SUM(F100:F102)</f>
        <v>57</v>
      </c>
      <c r="G99" s="1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4" ht="14.4" hidden="1" outlineLevel="2" x14ac:dyDescent="0.3">
      <c r="A100" s="101" t="s">
        <v>240</v>
      </c>
      <c r="B100" s="102" t="s">
        <v>293</v>
      </c>
      <c r="C100" s="101" t="s">
        <v>20</v>
      </c>
      <c r="D100" s="101">
        <v>1</v>
      </c>
      <c r="E100" s="103">
        <v>50</v>
      </c>
      <c r="F100" s="104">
        <f t="shared" ref="F100:F102" si="19">(E100*D100)*$D$99</f>
        <v>50</v>
      </c>
      <c r="G100" s="1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4" ht="14.4" hidden="1" outlineLevel="2" x14ac:dyDescent="0.3">
      <c r="A101" s="101" t="s">
        <v>238</v>
      </c>
      <c r="B101" s="102" t="s">
        <v>294</v>
      </c>
      <c r="C101" s="101" t="s">
        <v>20</v>
      </c>
      <c r="D101" s="101">
        <v>1</v>
      </c>
      <c r="E101" s="103">
        <v>2.5</v>
      </c>
      <c r="F101" s="104">
        <f t="shared" si="19"/>
        <v>2.5</v>
      </c>
      <c r="G101" s="1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4" ht="14.4" hidden="1" outlineLevel="2" x14ac:dyDescent="0.3">
      <c r="A102" s="101" t="s">
        <v>238</v>
      </c>
      <c r="B102" s="102" t="s">
        <v>295</v>
      </c>
      <c r="C102" s="101" t="s">
        <v>105</v>
      </c>
      <c r="D102" s="101">
        <v>3</v>
      </c>
      <c r="E102" s="103">
        <v>1.5</v>
      </c>
      <c r="F102" s="104">
        <f t="shared" si="19"/>
        <v>4.5</v>
      </c>
      <c r="G102" s="1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4" ht="14.4" hidden="1" outlineLevel="2" x14ac:dyDescent="0.3">
      <c r="A103" s="105"/>
      <c r="B103" s="106"/>
      <c r="C103" s="125"/>
      <c r="D103" s="130">
        <f>F100/D99</f>
        <v>50</v>
      </c>
      <c r="E103" s="130" t="s">
        <v>238</v>
      </c>
      <c r="F103" s="130">
        <f>SUM(F101:F102)/D99</f>
        <v>7</v>
      </c>
      <c r="G103" s="109"/>
      <c r="H103" s="110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11"/>
      <c r="X103" s="111"/>
    </row>
    <row r="104" spans="1:24" ht="14.4" hidden="1" outlineLevel="1" collapsed="1" x14ac:dyDescent="0.3">
      <c r="A104" s="112" t="str">
        <f>'1. BRIEFING'!A37</f>
        <v>5.2</v>
      </c>
      <c r="B104" s="113" t="str">
        <f>'1. BRIEFING'!B37</f>
        <v>INSTALAÇÃO DE CABEAMENTO PARA PONTOS DE TOMADAS</v>
      </c>
      <c r="C104" s="100" t="s">
        <v>20</v>
      </c>
      <c r="D104" s="127">
        <f>'1. BRIEFING'!D37</f>
        <v>1</v>
      </c>
      <c r="E104" s="99">
        <f>F104/D104</f>
        <v>101.3</v>
      </c>
      <c r="F104" s="99">
        <f>SUM(F105:F107)</f>
        <v>101.3</v>
      </c>
      <c r="G104" s="1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4" ht="14.4" hidden="1" outlineLevel="2" x14ac:dyDescent="0.3">
      <c r="A105" s="101" t="s">
        <v>240</v>
      </c>
      <c r="B105" s="102" t="s">
        <v>296</v>
      </c>
      <c r="C105" s="101" t="s">
        <v>20</v>
      </c>
      <c r="D105" s="101">
        <v>1</v>
      </c>
      <c r="E105" s="103">
        <v>40</v>
      </c>
      <c r="F105" s="104">
        <f>(E105*D105)*D104</f>
        <v>40</v>
      </c>
      <c r="G105" s="1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4" ht="14.4" hidden="1" outlineLevel="2" x14ac:dyDescent="0.3">
      <c r="A106" s="101" t="s">
        <v>238</v>
      </c>
      <c r="B106" s="102" t="s">
        <v>297</v>
      </c>
      <c r="C106" s="101" t="s">
        <v>105</v>
      </c>
      <c r="D106" s="101">
        <v>20</v>
      </c>
      <c r="E106" s="103">
        <v>2.69</v>
      </c>
      <c r="F106" s="104">
        <f>(E106*D106)*D104</f>
        <v>53.8</v>
      </c>
      <c r="G106" s="1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4" ht="14.4" hidden="1" outlineLevel="2" x14ac:dyDescent="0.3">
      <c r="A107" s="101" t="s">
        <v>238</v>
      </c>
      <c r="B107" s="131" t="s">
        <v>298</v>
      </c>
      <c r="C107" s="101" t="s">
        <v>20</v>
      </c>
      <c r="D107" s="101">
        <v>3</v>
      </c>
      <c r="E107" s="103">
        <v>2.5</v>
      </c>
      <c r="F107" s="104">
        <f>(E107*D107)*D104</f>
        <v>7.5</v>
      </c>
      <c r="G107" s="1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4" ht="14.4" hidden="1" outlineLevel="2" x14ac:dyDescent="0.3">
      <c r="A108" s="105"/>
      <c r="B108" s="106"/>
      <c r="C108" s="125"/>
      <c r="D108" s="130">
        <f>F105/D104</f>
        <v>40</v>
      </c>
      <c r="E108" s="130" t="s">
        <v>238</v>
      </c>
      <c r="F108" s="130">
        <f>SUM(F106:F107)/D104</f>
        <v>61.3</v>
      </c>
      <c r="G108" s="109"/>
      <c r="H108" s="110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11"/>
      <c r="X108" s="111"/>
    </row>
    <row r="109" spans="1:24" ht="14.4" hidden="1" outlineLevel="1" collapsed="1" x14ac:dyDescent="0.3">
      <c r="A109" s="112" t="str">
        <f>'1. BRIEFING'!A38</f>
        <v>5.3</v>
      </c>
      <c r="B109" s="113" t="str">
        <f>'1. BRIEFING'!B38</f>
        <v>INSTALAÇÃO DE CABEAMENTO PARA PONTOS DE ILUMINAÇÃO</v>
      </c>
      <c r="C109" s="100" t="s">
        <v>20</v>
      </c>
      <c r="D109" s="127">
        <f>'1. BRIEFING'!D38</f>
        <v>1</v>
      </c>
      <c r="E109" s="99">
        <f>F109/D109</f>
        <v>101.3</v>
      </c>
      <c r="F109" s="99">
        <f>SUM(F110:F112)</f>
        <v>101.3</v>
      </c>
      <c r="G109" s="1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4" ht="14.4" hidden="1" outlineLevel="2" x14ac:dyDescent="0.3">
      <c r="A110" s="101" t="s">
        <v>240</v>
      </c>
      <c r="B110" s="102" t="s">
        <v>299</v>
      </c>
      <c r="C110" s="101" t="s">
        <v>20</v>
      </c>
      <c r="D110" s="101">
        <v>1</v>
      </c>
      <c r="E110" s="103">
        <v>40</v>
      </c>
      <c r="F110" s="104">
        <f>(E110*D110)*D109</f>
        <v>40</v>
      </c>
      <c r="G110" s="1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4" ht="14.4" hidden="1" outlineLevel="2" x14ac:dyDescent="0.3">
      <c r="A111" s="101" t="s">
        <v>238</v>
      </c>
      <c r="B111" s="102" t="s">
        <v>300</v>
      </c>
      <c r="C111" s="101" t="s">
        <v>105</v>
      </c>
      <c r="D111" s="101">
        <v>20</v>
      </c>
      <c r="E111" s="103">
        <v>2.69</v>
      </c>
      <c r="F111" s="104">
        <f>(E111*D111)*D109</f>
        <v>53.8</v>
      </c>
      <c r="G111" s="1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4" ht="14.4" hidden="1" outlineLevel="2" x14ac:dyDescent="0.3">
      <c r="A112" s="101" t="s">
        <v>238</v>
      </c>
      <c r="B112" s="131" t="s">
        <v>298</v>
      </c>
      <c r="C112" s="101" t="s">
        <v>20</v>
      </c>
      <c r="D112" s="101">
        <v>3</v>
      </c>
      <c r="E112" s="103">
        <v>2.5</v>
      </c>
      <c r="F112" s="104">
        <f>(E112*D112)*D109</f>
        <v>7.5</v>
      </c>
      <c r="G112" s="1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4" ht="14.4" hidden="1" outlineLevel="2" x14ac:dyDescent="0.3">
      <c r="A113" s="105"/>
      <c r="B113" s="106"/>
      <c r="C113" s="125"/>
      <c r="D113" s="130">
        <f>F110/D109</f>
        <v>40</v>
      </c>
      <c r="E113" s="130" t="s">
        <v>238</v>
      </c>
      <c r="F113" s="130">
        <f>SUM(F111:F112)/D109</f>
        <v>61.3</v>
      </c>
      <c r="G113" s="109"/>
      <c r="H113" s="110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11"/>
      <c r="X113" s="111"/>
    </row>
    <row r="114" spans="1:24" ht="14.4" hidden="1" outlineLevel="1" collapsed="1" x14ac:dyDescent="0.3">
      <c r="A114" s="112" t="str">
        <f>'1. BRIEFING'!A39</f>
        <v>5.4</v>
      </c>
      <c r="B114" s="113" t="str">
        <f>'1. BRIEFING'!B39</f>
        <v>REISNTALAÇÃO DE QUADRO DE DISTRIBUIÇÃO (ADEQUAÇÃO)</v>
      </c>
      <c r="C114" s="100" t="s">
        <v>20</v>
      </c>
      <c r="D114" s="127">
        <f>'1. BRIEFING'!D39</f>
        <v>1</v>
      </c>
      <c r="E114" s="99">
        <f>F114/D114</f>
        <v>1150</v>
      </c>
      <c r="F114" s="99">
        <f>SUM(F115:F121)</f>
        <v>1150</v>
      </c>
      <c r="G114" s="1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4" ht="14.4" hidden="1" outlineLevel="2" x14ac:dyDescent="0.3">
      <c r="A115" s="101" t="s">
        <v>240</v>
      </c>
      <c r="B115" s="102" t="s">
        <v>301</v>
      </c>
      <c r="C115" s="101" t="s">
        <v>20</v>
      </c>
      <c r="D115" s="101">
        <v>1</v>
      </c>
      <c r="E115" s="103">
        <v>750</v>
      </c>
      <c r="F115" s="104">
        <f>(E115*D115)*D114</f>
        <v>750</v>
      </c>
      <c r="G115" s="1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4" ht="14.4" hidden="1" outlineLevel="2" x14ac:dyDescent="0.3">
      <c r="A116" s="101" t="s">
        <v>238</v>
      </c>
      <c r="B116" s="102" t="s">
        <v>302</v>
      </c>
      <c r="C116" s="101" t="s">
        <v>20</v>
      </c>
      <c r="D116" s="101">
        <v>1</v>
      </c>
      <c r="E116" s="103">
        <v>150</v>
      </c>
      <c r="F116" s="104">
        <f>(E116*D116)*D114</f>
        <v>150</v>
      </c>
      <c r="G116" s="1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4" ht="14.4" hidden="1" outlineLevel="2" x14ac:dyDescent="0.3">
      <c r="A117" s="101" t="s">
        <v>238</v>
      </c>
      <c r="B117" s="131" t="s">
        <v>303</v>
      </c>
      <c r="C117" s="101" t="s">
        <v>20</v>
      </c>
      <c r="D117" s="101">
        <v>1</v>
      </c>
      <c r="E117" s="103">
        <v>50</v>
      </c>
      <c r="F117" s="104">
        <f t="shared" ref="F117:F121" si="20">(E117*D117)*D114</f>
        <v>50</v>
      </c>
      <c r="G117" s="1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4" ht="14.4" hidden="1" outlineLevel="2" x14ac:dyDescent="0.3">
      <c r="A118" s="101" t="s">
        <v>238</v>
      </c>
      <c r="B118" s="131" t="s">
        <v>303</v>
      </c>
      <c r="C118" s="101" t="s">
        <v>20</v>
      </c>
      <c r="D118" s="101">
        <v>1</v>
      </c>
      <c r="E118" s="103">
        <v>50</v>
      </c>
      <c r="F118" s="104">
        <f t="shared" si="20"/>
        <v>50</v>
      </c>
      <c r="G118" s="1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4" ht="14.4" hidden="1" outlineLevel="2" x14ac:dyDescent="0.3">
      <c r="A119" s="101" t="s">
        <v>238</v>
      </c>
      <c r="B119" s="131" t="s">
        <v>303</v>
      </c>
      <c r="C119" s="101" t="s">
        <v>20</v>
      </c>
      <c r="D119" s="101">
        <v>1</v>
      </c>
      <c r="E119" s="103">
        <v>50</v>
      </c>
      <c r="F119" s="104">
        <f t="shared" si="20"/>
        <v>50</v>
      </c>
      <c r="G119" s="1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4" ht="14.4" hidden="1" outlineLevel="2" x14ac:dyDescent="0.3">
      <c r="A120" s="101" t="s">
        <v>238</v>
      </c>
      <c r="B120" s="131" t="s">
        <v>303</v>
      </c>
      <c r="C120" s="101" t="s">
        <v>20</v>
      </c>
      <c r="D120" s="101">
        <v>1</v>
      </c>
      <c r="E120" s="103">
        <v>50</v>
      </c>
      <c r="F120" s="104">
        <f t="shared" si="20"/>
        <v>50</v>
      </c>
      <c r="G120" s="1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4" ht="14.4" hidden="1" outlineLevel="2" x14ac:dyDescent="0.3">
      <c r="A121" s="101" t="s">
        <v>238</v>
      </c>
      <c r="B121" s="131" t="s">
        <v>303</v>
      </c>
      <c r="C121" s="101" t="s">
        <v>20</v>
      </c>
      <c r="D121" s="101">
        <v>1</v>
      </c>
      <c r="E121" s="103">
        <v>50</v>
      </c>
      <c r="F121" s="104">
        <f t="shared" si="20"/>
        <v>50</v>
      </c>
      <c r="G121" s="1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4" ht="14.4" hidden="1" outlineLevel="2" x14ac:dyDescent="0.3">
      <c r="A122" s="105"/>
      <c r="B122" s="106"/>
      <c r="C122" s="125"/>
      <c r="D122" s="130">
        <f>F115/D114</f>
        <v>750</v>
      </c>
      <c r="E122" s="130" t="s">
        <v>238</v>
      </c>
      <c r="F122" s="130">
        <f>SUM(F116:F121)/D114</f>
        <v>400</v>
      </c>
      <c r="G122" s="1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4" ht="14.4" hidden="1" outlineLevel="1" collapsed="1" x14ac:dyDescent="0.3">
      <c r="A123" s="112" t="str">
        <f>'1. BRIEFING'!A40</f>
        <v>5.5</v>
      </c>
      <c r="B123" s="113" t="str">
        <f>'1. BRIEFING'!B40</f>
        <v>INSTALAÇÃO DE INFRAESTRUTURA PARA PONTOS DE REDE/ANTENA/CAMERA/SOM</v>
      </c>
      <c r="C123" s="100" t="s">
        <v>20</v>
      </c>
      <c r="D123" s="127">
        <f>'1. BRIEFING'!D40</f>
        <v>1</v>
      </c>
      <c r="E123" s="99">
        <f>F123/D123</f>
        <v>65.069999999999993</v>
      </c>
      <c r="F123" s="99">
        <f>SUM(F124:F127)</f>
        <v>65.069999999999993</v>
      </c>
      <c r="G123" s="1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4" ht="14.4" hidden="1" outlineLevel="2" x14ac:dyDescent="0.3">
      <c r="A124" s="101" t="s">
        <v>240</v>
      </c>
      <c r="B124" s="102" t="s">
        <v>304</v>
      </c>
      <c r="C124" s="101" t="s">
        <v>20</v>
      </c>
      <c r="D124" s="101">
        <v>1</v>
      </c>
      <c r="E124" s="103">
        <v>50</v>
      </c>
      <c r="F124" s="104">
        <f>(E124*D124)*D123</f>
        <v>50</v>
      </c>
      <c r="G124" s="1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4" ht="14.4" hidden="1" outlineLevel="2" x14ac:dyDescent="0.3">
      <c r="A125" s="101" t="s">
        <v>238</v>
      </c>
      <c r="B125" s="102" t="s">
        <v>294</v>
      </c>
      <c r="C125" s="101" t="s">
        <v>20</v>
      </c>
      <c r="D125" s="101">
        <v>1</v>
      </c>
      <c r="E125" s="103">
        <v>2.5</v>
      </c>
      <c r="F125" s="104">
        <f>(E125*D125)*D123</f>
        <v>2.5</v>
      </c>
      <c r="G125" s="1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4" ht="14.4" hidden="1" outlineLevel="2" x14ac:dyDescent="0.3">
      <c r="A126" s="101" t="s">
        <v>238</v>
      </c>
      <c r="B126" s="131" t="s">
        <v>295</v>
      </c>
      <c r="C126" s="101" t="s">
        <v>105</v>
      </c>
      <c r="D126" s="101">
        <v>3</v>
      </c>
      <c r="E126" s="103">
        <v>1.5</v>
      </c>
      <c r="F126" s="104">
        <f t="shared" ref="F126:F127" si="21">(E126*D126)*D123</f>
        <v>4.5</v>
      </c>
      <c r="G126" s="1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4" ht="14.4" hidden="1" outlineLevel="2" x14ac:dyDescent="0.3">
      <c r="A127" s="101" t="s">
        <v>238</v>
      </c>
      <c r="B127" s="131" t="s">
        <v>305</v>
      </c>
      <c r="C127" s="101" t="s">
        <v>105</v>
      </c>
      <c r="D127" s="101">
        <v>3</v>
      </c>
      <c r="E127" s="103">
        <v>2.69</v>
      </c>
      <c r="F127" s="104">
        <f t="shared" si="21"/>
        <v>8.07</v>
      </c>
      <c r="G127" s="1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4" ht="14.4" hidden="1" outlineLevel="2" x14ac:dyDescent="0.3">
      <c r="A128" s="105"/>
      <c r="B128" s="106"/>
      <c r="C128" s="125"/>
      <c r="D128" s="130">
        <f>F124/D123</f>
        <v>50</v>
      </c>
      <c r="E128" s="130" t="s">
        <v>238</v>
      </c>
      <c r="F128" s="130">
        <f>SUM(F125:F127)/D123</f>
        <v>15.07</v>
      </c>
      <c r="G128" s="1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4.4" collapsed="1" x14ac:dyDescent="0.3">
      <c r="A129" s="132">
        <f>'1. BRIEFING'!A41</f>
        <v>6</v>
      </c>
      <c r="B129" s="133" t="str">
        <f>'1. BRIEFING'!B41</f>
        <v>INSTALAÇÃO DE EQUIPAMENTOS</v>
      </c>
      <c r="C129" s="132"/>
      <c r="D129" s="132"/>
      <c r="E129" s="134"/>
      <c r="F129" s="134"/>
      <c r="G129" s="94"/>
      <c r="H129" s="9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4.4" hidden="1" outlineLevel="1" collapsed="1" x14ac:dyDescent="0.3">
      <c r="A130" s="112" t="str">
        <f>'1. BRIEFING'!A42</f>
        <v>6.1</v>
      </c>
      <c r="B130" s="113" t="str">
        <f>'1. BRIEFING'!B42</f>
        <v>INSTALAÇÃO DE INFRA PARA AR CONDICIONADO</v>
      </c>
      <c r="C130" s="100" t="s">
        <v>20</v>
      </c>
      <c r="D130" s="127">
        <f>'1. BRIEFING'!D42</f>
        <v>1</v>
      </c>
      <c r="E130" s="99">
        <f>F130/D130</f>
        <v>350</v>
      </c>
      <c r="F130" s="99">
        <f>SUM(F131:F132)</f>
        <v>350</v>
      </c>
      <c r="G130" s="1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4.4" hidden="1" outlineLevel="2" x14ac:dyDescent="0.3">
      <c r="A131" s="101" t="s">
        <v>240</v>
      </c>
      <c r="B131" s="102" t="s">
        <v>306</v>
      </c>
      <c r="C131" s="101" t="s">
        <v>20</v>
      </c>
      <c r="D131" s="101">
        <v>1</v>
      </c>
      <c r="E131" s="103">
        <v>150</v>
      </c>
      <c r="F131" s="104">
        <f>(E131*D131)*D130</f>
        <v>150</v>
      </c>
      <c r="G131" s="1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4.4" hidden="1" outlineLevel="2" x14ac:dyDescent="0.3">
      <c r="A132" s="101" t="s">
        <v>238</v>
      </c>
      <c r="B132" s="102" t="s">
        <v>307</v>
      </c>
      <c r="C132" s="101" t="s">
        <v>20</v>
      </c>
      <c r="D132" s="101">
        <v>1</v>
      </c>
      <c r="E132" s="103">
        <v>200</v>
      </c>
      <c r="F132" s="104">
        <f>(E132*D132)*D130</f>
        <v>200</v>
      </c>
      <c r="G132" s="1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4.4" hidden="1" outlineLevel="2" x14ac:dyDescent="0.3">
      <c r="A133" s="105"/>
      <c r="B133" s="106"/>
      <c r="C133" s="125"/>
      <c r="D133" s="130">
        <f>F131/D130</f>
        <v>150</v>
      </c>
      <c r="E133" s="130" t="s">
        <v>238</v>
      </c>
      <c r="F133" s="130">
        <f>SUM(F132)/D130</f>
        <v>200</v>
      </c>
      <c r="G133" s="1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4.4" hidden="1" outlineLevel="1" collapsed="1" x14ac:dyDescent="0.3">
      <c r="A134" s="112" t="str">
        <f>'1. BRIEFING'!A43</f>
        <v>6.2</v>
      </c>
      <c r="B134" s="113" t="str">
        <f>'1. BRIEFING'!B43</f>
        <v xml:space="preserve">INSTALAÇÃO DE BOILER </v>
      </c>
      <c r="C134" s="100" t="s">
        <v>20</v>
      </c>
      <c r="D134" s="127">
        <f>'1. BRIEFING'!D43</f>
        <v>1</v>
      </c>
      <c r="E134" s="99">
        <f>F134/D134</f>
        <v>350</v>
      </c>
      <c r="F134" s="99">
        <f>SUM(F135:F136)</f>
        <v>350</v>
      </c>
      <c r="G134" s="1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4.4" hidden="1" outlineLevel="2" x14ac:dyDescent="0.3">
      <c r="A135" s="101" t="s">
        <v>240</v>
      </c>
      <c r="B135" s="131" t="s">
        <v>306</v>
      </c>
      <c r="C135" s="135" t="s">
        <v>20</v>
      </c>
      <c r="D135" s="135">
        <v>1</v>
      </c>
      <c r="E135" s="103">
        <v>150</v>
      </c>
      <c r="F135" s="104">
        <f>(E135*D135)*D134</f>
        <v>150</v>
      </c>
      <c r="G135" s="1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4.4" hidden="1" outlineLevel="2" x14ac:dyDescent="0.3">
      <c r="A136" s="101" t="s">
        <v>238</v>
      </c>
      <c r="B136" s="131" t="s">
        <v>307</v>
      </c>
      <c r="C136" s="135" t="s">
        <v>20</v>
      </c>
      <c r="D136" s="135">
        <v>1</v>
      </c>
      <c r="E136" s="103">
        <v>200</v>
      </c>
      <c r="F136" s="104">
        <f>(E136*D136)*D134</f>
        <v>200</v>
      </c>
      <c r="G136" s="1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4.4" hidden="1" outlineLevel="2" x14ac:dyDescent="0.3">
      <c r="A137" s="105"/>
      <c r="B137" s="106"/>
      <c r="C137" s="125"/>
      <c r="D137" s="130">
        <f>F135/D134</f>
        <v>150</v>
      </c>
      <c r="E137" s="130" t="s">
        <v>238</v>
      </c>
      <c r="F137" s="130">
        <f>SUM(F136)/D134</f>
        <v>200</v>
      </c>
      <c r="G137" s="1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4.4" hidden="1" outlineLevel="1" collapsed="1" x14ac:dyDescent="0.3">
      <c r="A138" s="112" t="str">
        <f>'1. BRIEFING'!A44</f>
        <v>6.3</v>
      </c>
      <c r="B138" s="113" t="str">
        <f>'1. BRIEFING'!B44</f>
        <v>INSTALAÇÃO DE EXAUSTOR l BWC CAMARIM E MAS</v>
      </c>
      <c r="C138" s="100" t="s">
        <v>20</v>
      </c>
      <c r="D138" s="127">
        <f>'1. BRIEFING'!D44</f>
        <v>1</v>
      </c>
      <c r="E138" s="99">
        <f>F138/D138</f>
        <v>350</v>
      </c>
      <c r="F138" s="99">
        <f>SUM(F139:F140)</f>
        <v>350</v>
      </c>
      <c r="G138" s="1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4.4" hidden="1" outlineLevel="2" x14ac:dyDescent="0.3">
      <c r="A139" s="101" t="s">
        <v>240</v>
      </c>
      <c r="B139" s="131" t="s">
        <v>306</v>
      </c>
      <c r="C139" s="135" t="s">
        <v>20</v>
      </c>
      <c r="D139" s="135">
        <v>1</v>
      </c>
      <c r="E139" s="103">
        <v>150</v>
      </c>
      <c r="F139" s="104">
        <f>(E139*D139)*D138</f>
        <v>150</v>
      </c>
      <c r="G139" s="1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4.4" hidden="1" outlineLevel="2" x14ac:dyDescent="0.3">
      <c r="A140" s="101" t="s">
        <v>238</v>
      </c>
      <c r="B140" s="131" t="s">
        <v>307</v>
      </c>
      <c r="C140" s="135" t="s">
        <v>20</v>
      </c>
      <c r="D140" s="135">
        <v>1</v>
      </c>
      <c r="E140" s="103">
        <v>200</v>
      </c>
      <c r="F140" s="104">
        <f>(E140*D140)*D138</f>
        <v>200</v>
      </c>
      <c r="G140" s="1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4.4" hidden="1" outlineLevel="2" x14ac:dyDescent="0.3">
      <c r="A141" s="105"/>
      <c r="B141" s="106"/>
      <c r="C141" s="125"/>
      <c r="D141" s="130">
        <f>F139/D138</f>
        <v>150</v>
      </c>
      <c r="E141" s="130" t="s">
        <v>238</v>
      </c>
      <c r="F141" s="130">
        <f>SUM(F140)/D138</f>
        <v>200</v>
      </c>
      <c r="G141" s="1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4.4" collapsed="1" x14ac:dyDescent="0.3">
      <c r="A142" s="115">
        <f>'1. BRIEFING'!A45</f>
        <v>7</v>
      </c>
      <c r="B142" s="116" t="str">
        <f>'1. BRIEFING'!B45</f>
        <v>INSTALAÇÃO DE ILUMINAÇÃO</v>
      </c>
      <c r="C142" s="117"/>
      <c r="D142" s="117"/>
      <c r="E142" s="118"/>
      <c r="F142" s="118"/>
      <c r="G142" s="94"/>
      <c r="H142" s="9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4.4" hidden="1" outlineLevel="1" collapsed="1" x14ac:dyDescent="0.3">
      <c r="A143" s="112" t="str">
        <f>'1. BRIEFING'!A46</f>
        <v>7.1</v>
      </c>
      <c r="B143" s="113" t="str">
        <f>'1. BRIEFING'!B46</f>
        <v>INSTALAÇÃO DE LUMINÁRIA DE EMBUTIR QUADRADA 20W EM FORRO DE GESSO</v>
      </c>
      <c r="C143" s="100" t="s">
        <v>20</v>
      </c>
      <c r="D143" s="127">
        <f>'1. BRIEFING'!D49</f>
        <v>1</v>
      </c>
      <c r="E143" s="99">
        <f>F143/D143</f>
        <v>100</v>
      </c>
      <c r="F143" s="99">
        <f>SUM(F144:F145)</f>
        <v>100</v>
      </c>
      <c r="G143" s="1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4.4" hidden="1" outlineLevel="2" x14ac:dyDescent="0.3">
      <c r="A144" s="101" t="s">
        <v>240</v>
      </c>
      <c r="B144" s="131" t="s">
        <v>308</v>
      </c>
      <c r="C144" s="135" t="s">
        <v>20</v>
      </c>
      <c r="D144" s="135">
        <v>1</v>
      </c>
      <c r="E144" s="103">
        <v>35</v>
      </c>
      <c r="F144" s="104">
        <f>(E144*D144)*D143</f>
        <v>35</v>
      </c>
      <c r="G144" s="1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4.4" hidden="1" outlineLevel="2" x14ac:dyDescent="0.3">
      <c r="A145" s="101" t="s">
        <v>238</v>
      </c>
      <c r="B145" s="131" t="s">
        <v>309</v>
      </c>
      <c r="C145" s="135" t="s">
        <v>20</v>
      </c>
      <c r="D145" s="135">
        <v>1</v>
      </c>
      <c r="E145" s="103">
        <v>65</v>
      </c>
      <c r="F145" s="104">
        <f>(E145*D145)*D143</f>
        <v>65</v>
      </c>
      <c r="G145" s="1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4.4" hidden="1" outlineLevel="2" x14ac:dyDescent="0.3">
      <c r="A146" s="105"/>
      <c r="B146" s="106"/>
      <c r="C146" s="125"/>
      <c r="D146" s="130">
        <f>F144/D143</f>
        <v>35</v>
      </c>
      <c r="E146" s="130" t="s">
        <v>238</v>
      </c>
      <c r="F146" s="130">
        <f>SUM(F145)/D143</f>
        <v>65</v>
      </c>
      <c r="G146" s="1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4.4" hidden="1" outlineLevel="1" collapsed="1" x14ac:dyDescent="0.3">
      <c r="A147" s="112" t="str">
        <f>'1. BRIEFING'!A47</f>
        <v>7.2</v>
      </c>
      <c r="B147" s="113" t="str">
        <f>'1. BRIEFING'!B47</f>
        <v>INSTALAÇÃO DE DICROICAS DIRECIONAIS</v>
      </c>
      <c r="C147" s="100" t="s">
        <v>20</v>
      </c>
      <c r="D147" s="127">
        <f>'1. BRIEFING'!D53</f>
        <v>1</v>
      </c>
      <c r="E147" s="99">
        <f>F147/D147</f>
        <v>50</v>
      </c>
      <c r="F147" s="99">
        <f>SUM(F148:F149)</f>
        <v>50</v>
      </c>
      <c r="G147" s="1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4.4" hidden="1" outlineLevel="2" x14ac:dyDescent="0.3">
      <c r="A148" s="101" t="s">
        <v>240</v>
      </c>
      <c r="B148" s="131" t="s">
        <v>310</v>
      </c>
      <c r="C148" s="135" t="s">
        <v>20</v>
      </c>
      <c r="D148" s="135">
        <v>1</v>
      </c>
      <c r="E148" s="103">
        <v>30</v>
      </c>
      <c r="F148" s="104">
        <f>(E148*D148)*D147</f>
        <v>30</v>
      </c>
      <c r="G148" s="1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4.4" hidden="1" outlineLevel="2" x14ac:dyDescent="0.3">
      <c r="A149" s="101" t="s">
        <v>238</v>
      </c>
      <c r="B149" s="131" t="s">
        <v>311</v>
      </c>
      <c r="C149" s="135" t="s">
        <v>20</v>
      </c>
      <c r="D149" s="135">
        <v>1</v>
      </c>
      <c r="E149" s="103">
        <v>20</v>
      </c>
      <c r="F149" s="104">
        <f>(E149*D149)*D147</f>
        <v>20</v>
      </c>
      <c r="G149" s="1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4.4" hidden="1" outlineLevel="2" x14ac:dyDescent="0.3">
      <c r="A150" s="105"/>
      <c r="B150" s="106"/>
      <c r="C150" s="125"/>
      <c r="D150" s="130">
        <f>F148/D147</f>
        <v>30</v>
      </c>
      <c r="E150" s="130" t="s">
        <v>238</v>
      </c>
      <c r="F150" s="130">
        <f>SUM(F149)/D147</f>
        <v>20</v>
      </c>
      <c r="G150" s="1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4.4" hidden="1" outlineLevel="1" collapsed="1" x14ac:dyDescent="0.3">
      <c r="A151" s="112" t="str">
        <f>'1. BRIEFING'!A48</f>
        <v>7.3</v>
      </c>
      <c r="B151" s="113" t="str">
        <f>'1. BRIEFING'!B48</f>
        <v>INSTALAÇÃO DE FITA EM LED</v>
      </c>
      <c r="C151" s="100" t="s">
        <v>20</v>
      </c>
      <c r="D151" s="127">
        <f>'1. BRIEFING'!D48</f>
        <v>1</v>
      </c>
      <c r="E151" s="99">
        <f>F151/D151</f>
        <v>230</v>
      </c>
      <c r="F151" s="99">
        <f>SUM(F152:F153)</f>
        <v>230</v>
      </c>
      <c r="G151" s="1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4.4" hidden="1" outlineLevel="2" x14ac:dyDescent="0.3">
      <c r="A152" s="101" t="s">
        <v>240</v>
      </c>
      <c r="B152" s="131" t="s">
        <v>312</v>
      </c>
      <c r="C152" s="135" t="s">
        <v>20</v>
      </c>
      <c r="D152" s="135">
        <v>1</v>
      </c>
      <c r="E152" s="103">
        <v>30</v>
      </c>
      <c r="F152" s="104">
        <f>(E152*D152)*D151</f>
        <v>30</v>
      </c>
      <c r="G152" s="1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4.4" hidden="1" outlineLevel="2" x14ac:dyDescent="0.3">
      <c r="A153" s="101" t="s">
        <v>238</v>
      </c>
      <c r="B153" s="131" t="s">
        <v>313</v>
      </c>
      <c r="C153" s="135" t="s">
        <v>20</v>
      </c>
      <c r="D153" s="135">
        <v>1</v>
      </c>
      <c r="E153" s="103">
        <v>200</v>
      </c>
      <c r="F153" s="104">
        <f>(E153*D153)*D151</f>
        <v>200</v>
      </c>
      <c r="G153" s="1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4.4" hidden="1" outlineLevel="2" x14ac:dyDescent="0.3">
      <c r="A154" s="105"/>
      <c r="B154" s="106"/>
      <c r="C154" s="125"/>
      <c r="D154" s="130">
        <f>F152/D151</f>
        <v>30</v>
      </c>
      <c r="E154" s="130" t="s">
        <v>238</v>
      </c>
      <c r="F154" s="130">
        <f>SUM(F153)/D151</f>
        <v>200</v>
      </c>
      <c r="G154" s="1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4.4" hidden="1" outlineLevel="1" collapsed="1" x14ac:dyDescent="0.3">
      <c r="A155" s="112" t="str">
        <f>'1. BRIEFING'!A49</f>
        <v>7.4</v>
      </c>
      <c r="B155" s="113" t="str">
        <f>'1. BRIEFING'!B49</f>
        <v xml:space="preserve">INSTALAÇÃO DE PENDENTE </v>
      </c>
      <c r="C155" s="100" t="s">
        <v>20</v>
      </c>
      <c r="D155" s="127">
        <f>'1. BRIEFING'!D52</f>
        <v>1</v>
      </c>
      <c r="E155" s="99">
        <f>F155/D155</f>
        <v>275</v>
      </c>
      <c r="F155" s="99">
        <f>SUM(F156:F157)</f>
        <v>275</v>
      </c>
      <c r="G155" s="1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4.4" hidden="1" outlineLevel="2" x14ac:dyDescent="0.3">
      <c r="A156" s="101" t="s">
        <v>240</v>
      </c>
      <c r="B156" s="131" t="s">
        <v>314</v>
      </c>
      <c r="C156" s="135" t="s">
        <v>20</v>
      </c>
      <c r="D156" s="135">
        <v>1</v>
      </c>
      <c r="E156" s="103">
        <v>75</v>
      </c>
      <c r="F156" s="104">
        <f>(E156*D156)*D155</f>
        <v>75</v>
      </c>
      <c r="G156" s="1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4.4" hidden="1" outlineLevel="2" x14ac:dyDescent="0.3">
      <c r="A157" s="101" t="s">
        <v>238</v>
      </c>
      <c r="B157" s="131" t="s">
        <v>315</v>
      </c>
      <c r="C157" s="135" t="s">
        <v>20</v>
      </c>
      <c r="D157" s="135">
        <v>1</v>
      </c>
      <c r="E157" s="103">
        <v>200</v>
      </c>
      <c r="F157" s="104">
        <f>(E157*D157)*D155</f>
        <v>200</v>
      </c>
      <c r="G157" s="1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4.4" hidden="1" outlineLevel="2" x14ac:dyDescent="0.3">
      <c r="A158" s="105"/>
      <c r="B158" s="106"/>
      <c r="C158" s="125"/>
      <c r="D158" s="130">
        <f>F156/D155</f>
        <v>75</v>
      </c>
      <c r="E158" s="130" t="s">
        <v>238</v>
      </c>
      <c r="F158" s="130">
        <f>SUM(F157)/D155</f>
        <v>200</v>
      </c>
      <c r="G158" s="1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4.4" collapsed="1" x14ac:dyDescent="0.3">
      <c r="A159" s="115">
        <f>'1. BRIEFING'!A54</f>
        <v>8</v>
      </c>
      <c r="B159" s="116" t="str">
        <f>'1. BRIEFING'!B54</f>
        <v>SERVIÇO EM FORRO</v>
      </c>
      <c r="C159" s="117"/>
      <c r="D159" s="117"/>
      <c r="E159" s="118"/>
      <c r="F159" s="118"/>
      <c r="G159" s="94"/>
      <c r="H159" s="9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4.4" hidden="1" outlineLevel="1" collapsed="1" x14ac:dyDescent="0.3">
      <c r="A160" s="112" t="str">
        <f>'1. BRIEFING'!A55</f>
        <v>8.1</v>
      </c>
      <c r="B160" s="113" t="str">
        <f>'1. BRIEFING'!B55</f>
        <v>FORNECIMENTO E INSTALAÇÃO DE FORRO EM GESSO</v>
      </c>
      <c r="C160" s="100" t="s">
        <v>29</v>
      </c>
      <c r="D160" s="127">
        <f>'1. BRIEFING'!D55</f>
        <v>1</v>
      </c>
      <c r="E160" s="99">
        <f>F160/D160</f>
        <v>101</v>
      </c>
      <c r="F160" s="99">
        <f>SUM(F161:F165)</f>
        <v>101</v>
      </c>
      <c r="G160" s="1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4.4" hidden="1" outlineLevel="2" x14ac:dyDescent="0.3">
      <c r="A161" s="101" t="s">
        <v>240</v>
      </c>
      <c r="B161" s="131" t="s">
        <v>316</v>
      </c>
      <c r="C161" s="135" t="s">
        <v>29</v>
      </c>
      <c r="D161" s="135">
        <v>1</v>
      </c>
      <c r="E161" s="103">
        <v>15</v>
      </c>
      <c r="F161" s="104">
        <f>(E161*D161)*D160</f>
        <v>15</v>
      </c>
      <c r="G161" s="1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4.4" hidden="1" outlineLevel="2" x14ac:dyDescent="0.3">
      <c r="A162" s="101" t="s">
        <v>238</v>
      </c>
      <c r="B162" s="131" t="s">
        <v>317</v>
      </c>
      <c r="C162" s="135" t="s">
        <v>318</v>
      </c>
      <c r="D162" s="135">
        <v>1</v>
      </c>
      <c r="E162" s="103">
        <v>40</v>
      </c>
      <c r="F162" s="104">
        <f t="shared" ref="F162:F165" si="22">(E162*D162)*D160</f>
        <v>40</v>
      </c>
      <c r="G162" s="1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4.4" hidden="1" outlineLevel="2" x14ac:dyDescent="0.3">
      <c r="A163" s="101" t="s">
        <v>238</v>
      </c>
      <c r="B163" s="131" t="s">
        <v>319</v>
      </c>
      <c r="C163" s="135" t="s">
        <v>318</v>
      </c>
      <c r="D163" s="135">
        <v>1</v>
      </c>
      <c r="E163" s="103">
        <v>15</v>
      </c>
      <c r="F163" s="104">
        <f t="shared" si="22"/>
        <v>15</v>
      </c>
      <c r="G163" s="1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4.4" hidden="1" outlineLevel="2" x14ac:dyDescent="0.3">
      <c r="A164" s="101" t="s">
        <v>238</v>
      </c>
      <c r="B164" s="131" t="s">
        <v>320</v>
      </c>
      <c r="C164" s="135" t="s">
        <v>318</v>
      </c>
      <c r="D164" s="135">
        <v>1</v>
      </c>
      <c r="E164" s="103">
        <v>20</v>
      </c>
      <c r="F164" s="104">
        <f t="shared" si="22"/>
        <v>20</v>
      </c>
      <c r="G164" s="1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4.4" hidden="1" outlineLevel="2" x14ac:dyDescent="0.3">
      <c r="A165" s="101" t="s">
        <v>238</v>
      </c>
      <c r="B165" s="131" t="s">
        <v>321</v>
      </c>
      <c r="C165" s="135" t="s">
        <v>29</v>
      </c>
      <c r="D165" s="135">
        <v>1.1000000000000001</v>
      </c>
      <c r="E165" s="103">
        <v>10</v>
      </c>
      <c r="F165" s="104">
        <f t="shared" si="22"/>
        <v>11</v>
      </c>
      <c r="G165" s="1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4.4" hidden="1" outlineLevel="2" x14ac:dyDescent="0.3">
      <c r="A166" s="105"/>
      <c r="B166" s="106"/>
      <c r="C166" s="125"/>
      <c r="D166" s="130">
        <f>F161/D160</f>
        <v>15</v>
      </c>
      <c r="E166" s="130" t="s">
        <v>238</v>
      </c>
      <c r="F166" s="130">
        <f>SUM(F162,F163,F164,F165)/D160</f>
        <v>86</v>
      </c>
      <c r="G166" s="1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4.4" hidden="1" outlineLevel="1" collapsed="1" x14ac:dyDescent="0.3">
      <c r="A167" s="112" t="str">
        <f>'1. BRIEFING'!A56</f>
        <v>8.2</v>
      </c>
      <c r="B167" s="113" t="str">
        <f>'1. BRIEFING'!B56</f>
        <v>FORNECIMENTO E INSTALAÇÃO DE JUNTA EM DILATAÇÃO 3X3 CM</v>
      </c>
      <c r="C167" s="100" t="s">
        <v>102</v>
      </c>
      <c r="D167" s="127">
        <f>'1. BRIEFING'!D56</f>
        <v>1</v>
      </c>
      <c r="E167" s="99">
        <f>F167/D167</f>
        <v>21</v>
      </c>
      <c r="F167" s="99">
        <f>SUM(F168:F170)</f>
        <v>21</v>
      </c>
      <c r="G167" s="1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4.4" hidden="1" outlineLevel="2" x14ac:dyDescent="0.3">
      <c r="A168" s="101" t="s">
        <v>240</v>
      </c>
      <c r="B168" s="131" t="s">
        <v>316</v>
      </c>
      <c r="C168" s="135" t="s">
        <v>105</v>
      </c>
      <c r="D168" s="135">
        <v>1</v>
      </c>
      <c r="E168" s="103">
        <v>10</v>
      </c>
      <c r="F168" s="104">
        <f>(E168*D168)*D167</f>
        <v>10</v>
      </c>
      <c r="G168" s="1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4.4" hidden="1" outlineLevel="2" x14ac:dyDescent="0.3">
      <c r="A169" s="101" t="s">
        <v>238</v>
      </c>
      <c r="B169" s="131" t="s">
        <v>322</v>
      </c>
      <c r="C169" s="135" t="s">
        <v>105</v>
      </c>
      <c r="D169" s="135">
        <v>1</v>
      </c>
      <c r="E169" s="103">
        <v>3</v>
      </c>
      <c r="F169" s="104">
        <f t="shared" ref="F169:F170" si="23">(E169*D169)*D167</f>
        <v>3</v>
      </c>
      <c r="G169" s="1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4.4" hidden="1" outlineLevel="2" x14ac:dyDescent="0.3">
      <c r="A170" s="101" t="s">
        <v>238</v>
      </c>
      <c r="B170" s="131" t="s">
        <v>317</v>
      </c>
      <c r="C170" s="135" t="s">
        <v>318</v>
      </c>
      <c r="D170" s="135">
        <v>0.2</v>
      </c>
      <c r="E170" s="103">
        <v>40</v>
      </c>
      <c r="F170" s="104">
        <f t="shared" si="23"/>
        <v>8</v>
      </c>
      <c r="G170" s="1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4.4" hidden="1" outlineLevel="2" x14ac:dyDescent="0.3">
      <c r="A171" s="105"/>
      <c r="B171" s="106"/>
      <c r="C171" s="125"/>
      <c r="D171" s="130">
        <f>F168/D167</f>
        <v>10</v>
      </c>
      <c r="E171" s="130" t="s">
        <v>238</v>
      </c>
      <c r="F171" s="130">
        <f>SUM(F169,F170)/D167</f>
        <v>11</v>
      </c>
      <c r="G171" s="1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4.4" hidden="1" outlineLevel="1" collapsed="1" x14ac:dyDescent="0.3">
      <c r="A172" s="112" t="str">
        <f>'1. BRIEFING'!A57</f>
        <v>8.3</v>
      </c>
      <c r="B172" s="113" t="str">
        <f>'1. BRIEFING'!B57</f>
        <v>FORNECIMENTO E INSTALAÇÃO DE CORTINEIRO</v>
      </c>
      <c r="C172" s="100" t="s">
        <v>102</v>
      </c>
      <c r="D172" s="127">
        <f>'1. BRIEFING'!D57</f>
        <v>1</v>
      </c>
      <c r="E172" s="99">
        <f>F172/D172</f>
        <v>21</v>
      </c>
      <c r="F172" s="99">
        <f>SUM(F173:F175)</f>
        <v>21</v>
      </c>
      <c r="G172" s="1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4.4" hidden="1" outlineLevel="2" x14ac:dyDescent="0.3">
      <c r="A173" s="101" t="s">
        <v>240</v>
      </c>
      <c r="B173" s="131" t="s">
        <v>323</v>
      </c>
      <c r="C173" s="135" t="s">
        <v>105</v>
      </c>
      <c r="D173" s="135">
        <v>1</v>
      </c>
      <c r="E173" s="103">
        <v>10</v>
      </c>
      <c r="F173" s="104">
        <f>(E173*D173)*D172</f>
        <v>10</v>
      </c>
      <c r="G173" s="1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4.4" hidden="1" outlineLevel="2" x14ac:dyDescent="0.3">
      <c r="A174" s="101" t="s">
        <v>238</v>
      </c>
      <c r="B174" s="131" t="s">
        <v>324</v>
      </c>
      <c r="C174" s="135" t="s">
        <v>105</v>
      </c>
      <c r="D174" s="135">
        <v>1</v>
      </c>
      <c r="E174" s="103">
        <v>3</v>
      </c>
      <c r="F174" s="104">
        <f t="shared" ref="F174:F175" si="24">(E174*D174)*D172</f>
        <v>3</v>
      </c>
      <c r="G174" s="1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4.4" hidden="1" outlineLevel="2" x14ac:dyDescent="0.3">
      <c r="A175" s="101" t="s">
        <v>238</v>
      </c>
      <c r="B175" s="131" t="s">
        <v>317</v>
      </c>
      <c r="C175" s="135" t="s">
        <v>318</v>
      </c>
      <c r="D175" s="135">
        <v>0.2</v>
      </c>
      <c r="E175" s="103">
        <v>40</v>
      </c>
      <c r="F175" s="104">
        <f t="shared" si="24"/>
        <v>8</v>
      </c>
      <c r="G175" s="1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4.4" hidden="1" outlineLevel="2" x14ac:dyDescent="0.3">
      <c r="A176" s="105"/>
      <c r="B176" s="106"/>
      <c r="C176" s="125"/>
      <c r="D176" s="130">
        <f>F173/D172</f>
        <v>10</v>
      </c>
      <c r="E176" s="130" t="s">
        <v>238</v>
      </c>
      <c r="F176" s="130">
        <f>SUM(F174,F175)/D172</f>
        <v>11</v>
      </c>
      <c r="G176" s="1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4.4" hidden="1" outlineLevel="1" collapsed="1" x14ac:dyDescent="0.3">
      <c r="A177" s="112" t="str">
        <f>'1. BRIEFING'!A58</f>
        <v>8.4</v>
      </c>
      <c r="B177" s="113" t="str">
        <f>'1. BRIEFING'!B58</f>
        <v>FORNECIMENTO E INSTALAÇÃO DE SANCAS</v>
      </c>
      <c r="C177" s="100" t="s">
        <v>102</v>
      </c>
      <c r="D177" s="127">
        <f>'1. BRIEFING'!D58</f>
        <v>1</v>
      </c>
      <c r="E177" s="99">
        <f>F177/D177</f>
        <v>21</v>
      </c>
      <c r="F177" s="99">
        <f>SUM(F178:F180)</f>
        <v>21</v>
      </c>
      <c r="G177" s="1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4.4" hidden="1" outlineLevel="2" x14ac:dyDescent="0.3">
      <c r="A178" s="101" t="s">
        <v>240</v>
      </c>
      <c r="B178" s="131" t="s">
        <v>325</v>
      </c>
      <c r="C178" s="135" t="s">
        <v>105</v>
      </c>
      <c r="D178" s="135">
        <v>1</v>
      </c>
      <c r="E178" s="103">
        <v>10</v>
      </c>
      <c r="F178" s="104">
        <f>(E178*D178)*D177</f>
        <v>10</v>
      </c>
      <c r="G178" s="1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4.4" hidden="1" outlineLevel="2" x14ac:dyDescent="0.3">
      <c r="A179" s="101" t="s">
        <v>238</v>
      </c>
      <c r="B179" s="131" t="s">
        <v>326</v>
      </c>
      <c r="C179" s="135" t="s">
        <v>23</v>
      </c>
      <c r="D179" s="135">
        <v>1</v>
      </c>
      <c r="E179" s="103">
        <v>3</v>
      </c>
      <c r="F179" s="104">
        <f t="shared" ref="F179:F180" si="25">(E179*D179)*D177</f>
        <v>3</v>
      </c>
      <c r="G179" s="1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4.4" hidden="1" outlineLevel="2" x14ac:dyDescent="0.3">
      <c r="A180" s="101" t="s">
        <v>238</v>
      </c>
      <c r="B180" s="131" t="s">
        <v>317</v>
      </c>
      <c r="C180" s="135" t="s">
        <v>318</v>
      </c>
      <c r="D180" s="135">
        <v>0.2</v>
      </c>
      <c r="E180" s="103">
        <v>40</v>
      </c>
      <c r="F180" s="104">
        <f t="shared" si="25"/>
        <v>8</v>
      </c>
      <c r="G180" s="1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4.4" hidden="1" outlineLevel="2" x14ac:dyDescent="0.3">
      <c r="A181" s="105"/>
      <c r="B181" s="106"/>
      <c r="C181" s="125"/>
      <c r="D181" s="130">
        <f>F178/D177</f>
        <v>10</v>
      </c>
      <c r="E181" s="130" t="s">
        <v>238</v>
      </c>
      <c r="F181" s="130">
        <f>SUM(F179,F180)/D177</f>
        <v>11</v>
      </c>
      <c r="G181" s="1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4.4" collapsed="1" x14ac:dyDescent="0.3">
      <c r="A182" s="115">
        <f>'1. BRIEFING'!A59</f>
        <v>9</v>
      </c>
      <c r="B182" s="116" t="str">
        <f>'1. BRIEFING'!B59</f>
        <v xml:space="preserve">SERVIÇO EM ESQUADRIA DE MADEIRA </v>
      </c>
      <c r="C182" s="117"/>
      <c r="D182" s="117"/>
      <c r="E182" s="118"/>
      <c r="F182" s="118"/>
      <c r="G182" s="94"/>
      <c r="H182" s="9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4.4" hidden="1" outlineLevel="1" collapsed="1" x14ac:dyDescent="0.3">
      <c r="A183" s="112" t="str">
        <f>'1. BRIEFING'!A60</f>
        <v>9.1</v>
      </c>
      <c r="B183" s="113" t="str">
        <f>'1. BRIEFING'!B60</f>
        <v>FORNECIMENTO E INSTALAÇÃO DE PORTA EM MADEIRA 0,60 x 2,10 m l COMPLETA</v>
      </c>
      <c r="C183" s="100" t="str">
        <f>'1. BRIEFING'!C60</f>
        <v>UN</v>
      </c>
      <c r="D183" s="127">
        <f>'1. BRIEFING'!D60</f>
        <v>1</v>
      </c>
      <c r="E183" s="99">
        <f>F183/D183</f>
        <v>965</v>
      </c>
      <c r="F183" s="99">
        <f>SUM(F184:F189)</f>
        <v>965</v>
      </c>
      <c r="G183" s="1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4.4" hidden="1" outlineLevel="2" x14ac:dyDescent="0.3">
      <c r="A184" s="101" t="s">
        <v>240</v>
      </c>
      <c r="B184" s="102" t="s">
        <v>327</v>
      </c>
      <c r="C184" s="122" t="s">
        <v>20</v>
      </c>
      <c r="D184" s="122">
        <v>1</v>
      </c>
      <c r="E184" s="103">
        <v>300</v>
      </c>
      <c r="F184" s="104">
        <f t="shared" ref="F184:F189" si="26">(E184*D184)*D183</f>
        <v>300</v>
      </c>
      <c r="G184" s="1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4.4" hidden="1" outlineLevel="2" x14ac:dyDescent="0.3">
      <c r="A185" s="101" t="s">
        <v>238</v>
      </c>
      <c r="B185" s="102" t="s">
        <v>328</v>
      </c>
      <c r="C185" s="122" t="s">
        <v>20</v>
      </c>
      <c r="D185" s="122">
        <v>1</v>
      </c>
      <c r="E185" s="103">
        <v>25</v>
      </c>
      <c r="F185" s="104">
        <f t="shared" si="26"/>
        <v>25</v>
      </c>
      <c r="G185" s="1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4.4" hidden="1" outlineLevel="2" x14ac:dyDescent="0.3">
      <c r="A186" s="101" t="s">
        <v>238</v>
      </c>
      <c r="B186" s="102" t="s">
        <v>329</v>
      </c>
      <c r="C186" s="122" t="s">
        <v>20</v>
      </c>
      <c r="D186" s="122">
        <v>1</v>
      </c>
      <c r="E186" s="103">
        <v>200</v>
      </c>
      <c r="F186" s="104">
        <f t="shared" si="26"/>
        <v>200</v>
      </c>
      <c r="G186" s="1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4.4" hidden="1" outlineLevel="2" x14ac:dyDescent="0.3">
      <c r="A187" s="101" t="s">
        <v>238</v>
      </c>
      <c r="B187" s="102" t="s">
        <v>330</v>
      </c>
      <c r="C187" s="122" t="s">
        <v>20</v>
      </c>
      <c r="D187" s="122">
        <v>1</v>
      </c>
      <c r="E187" s="103">
        <v>250</v>
      </c>
      <c r="F187" s="104">
        <f t="shared" si="26"/>
        <v>250</v>
      </c>
      <c r="G187" s="1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4.4" hidden="1" outlineLevel="2" x14ac:dyDescent="0.3">
      <c r="A188" s="101" t="s">
        <v>238</v>
      </c>
      <c r="B188" s="102" t="s">
        <v>331</v>
      </c>
      <c r="C188" s="122" t="s">
        <v>20</v>
      </c>
      <c r="D188" s="122">
        <v>1</v>
      </c>
      <c r="E188" s="103">
        <v>120</v>
      </c>
      <c r="F188" s="104">
        <f t="shared" si="26"/>
        <v>120</v>
      </c>
      <c r="G188" s="1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4.4" hidden="1" outlineLevel="2" x14ac:dyDescent="0.3">
      <c r="A189" s="101" t="s">
        <v>238</v>
      </c>
      <c r="B189" s="129" t="s">
        <v>332</v>
      </c>
      <c r="C189" s="122" t="s">
        <v>20</v>
      </c>
      <c r="D189" s="122">
        <v>1</v>
      </c>
      <c r="E189" s="103">
        <v>70</v>
      </c>
      <c r="F189" s="104">
        <f t="shared" si="26"/>
        <v>70</v>
      </c>
      <c r="G189" s="1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4.4" hidden="1" outlineLevel="2" x14ac:dyDescent="0.3">
      <c r="A190" s="105"/>
      <c r="B190" s="106"/>
      <c r="C190" s="125"/>
      <c r="D190" s="130">
        <f>F184/D183</f>
        <v>300</v>
      </c>
      <c r="E190" s="130" t="s">
        <v>238</v>
      </c>
      <c r="F190" s="130">
        <f>SUM(F185:F189)/D183</f>
        <v>665</v>
      </c>
      <c r="G190" s="1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4.4" hidden="1" outlineLevel="1" collapsed="1" x14ac:dyDescent="0.3">
      <c r="A191" s="112" t="str">
        <f>'1. BRIEFING'!A61</f>
        <v>9.2</v>
      </c>
      <c r="B191" s="113" t="str">
        <f>'1. BRIEFING'!B61</f>
        <v>FORNECIMENTO E INSTALAÇÃO DE PORTA EM MADEIRA 0,70 X 2,10 M l COMPLETA</v>
      </c>
      <c r="C191" s="100" t="str">
        <f>'1. BRIEFING'!C61</f>
        <v>UN</v>
      </c>
      <c r="D191" s="127">
        <f>'1. BRIEFING'!D61</f>
        <v>1</v>
      </c>
      <c r="E191" s="99">
        <f>F191/D191</f>
        <v>895</v>
      </c>
      <c r="F191" s="99">
        <f>SUM(F192:F196)</f>
        <v>895</v>
      </c>
      <c r="G191" s="1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4.4" hidden="1" outlineLevel="2" x14ac:dyDescent="0.3">
      <c r="A192" s="101" t="s">
        <v>240</v>
      </c>
      <c r="B192" s="102" t="s">
        <v>327</v>
      </c>
      <c r="C192" s="122" t="s">
        <v>20</v>
      </c>
      <c r="D192" s="122">
        <v>1</v>
      </c>
      <c r="E192" s="103">
        <v>300</v>
      </c>
      <c r="F192" s="104">
        <f t="shared" ref="F192:F197" si="27">(E192*D192)*D191</f>
        <v>300</v>
      </c>
      <c r="G192" s="1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4.4" hidden="1" outlineLevel="2" x14ac:dyDescent="0.3">
      <c r="A193" s="101" t="s">
        <v>238</v>
      </c>
      <c r="B193" s="102" t="s">
        <v>328</v>
      </c>
      <c r="C193" s="122" t="s">
        <v>20</v>
      </c>
      <c r="D193" s="122">
        <v>1</v>
      </c>
      <c r="E193" s="103">
        <v>25</v>
      </c>
      <c r="F193" s="104">
        <f t="shared" si="27"/>
        <v>25</v>
      </c>
      <c r="G193" s="1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4.4" hidden="1" outlineLevel="2" x14ac:dyDescent="0.3">
      <c r="A194" s="101" t="s">
        <v>238</v>
      </c>
      <c r="B194" s="102" t="s">
        <v>329</v>
      </c>
      <c r="C194" s="122" t="s">
        <v>20</v>
      </c>
      <c r="D194" s="122">
        <v>1</v>
      </c>
      <c r="E194" s="103">
        <v>200</v>
      </c>
      <c r="F194" s="104">
        <f t="shared" si="27"/>
        <v>200</v>
      </c>
      <c r="G194" s="1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4.4" hidden="1" outlineLevel="2" x14ac:dyDescent="0.3">
      <c r="A195" s="101" t="s">
        <v>238</v>
      </c>
      <c r="B195" s="102" t="s">
        <v>333</v>
      </c>
      <c r="C195" s="122" t="s">
        <v>20</v>
      </c>
      <c r="D195" s="122">
        <v>1</v>
      </c>
      <c r="E195" s="103">
        <v>250</v>
      </c>
      <c r="F195" s="104">
        <f t="shared" si="27"/>
        <v>250</v>
      </c>
      <c r="G195" s="1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4.4" hidden="1" outlineLevel="2" x14ac:dyDescent="0.3">
      <c r="A196" s="101" t="s">
        <v>238</v>
      </c>
      <c r="B196" s="102" t="s">
        <v>331</v>
      </c>
      <c r="C196" s="122" t="s">
        <v>20</v>
      </c>
      <c r="D196" s="122">
        <v>1</v>
      </c>
      <c r="E196" s="103">
        <v>120</v>
      </c>
      <c r="F196" s="104">
        <f t="shared" si="27"/>
        <v>120</v>
      </c>
      <c r="G196" s="1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4.4" hidden="1" outlineLevel="2" x14ac:dyDescent="0.3">
      <c r="A197" s="101" t="s">
        <v>238</v>
      </c>
      <c r="B197" s="129" t="s">
        <v>334</v>
      </c>
      <c r="C197" s="122" t="s">
        <v>20</v>
      </c>
      <c r="D197" s="122">
        <v>1</v>
      </c>
      <c r="E197" s="103">
        <v>70</v>
      </c>
      <c r="F197" s="104">
        <f t="shared" si="27"/>
        <v>70</v>
      </c>
      <c r="G197" s="1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4.4" hidden="1" outlineLevel="2" x14ac:dyDescent="0.3">
      <c r="A198" s="105"/>
      <c r="B198" s="106"/>
      <c r="C198" s="125"/>
      <c r="D198" s="130">
        <f>F192/D191</f>
        <v>300</v>
      </c>
      <c r="E198" s="130" t="s">
        <v>238</v>
      </c>
      <c r="F198" s="130">
        <f>SUM(F193:F197)/D191</f>
        <v>665</v>
      </c>
      <c r="G198" s="1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4.4" hidden="1" outlineLevel="1" collapsed="1" x14ac:dyDescent="0.3">
      <c r="A199" s="112" t="str">
        <f>'1. BRIEFING'!A62</f>
        <v>9.3</v>
      </c>
      <c r="B199" s="113" t="str">
        <f>'1. BRIEFING'!B62</f>
        <v>FORNECIMENTO E INSTALAÇÃO DE PORTA EM MADEIRA 0,80 X 2,10 M l COMPLETA</v>
      </c>
      <c r="C199" s="100" t="str">
        <f>'1. BRIEFING'!C62</f>
        <v>UN</v>
      </c>
      <c r="D199" s="127">
        <f>'1. BRIEFING'!D62</f>
        <v>1</v>
      </c>
      <c r="E199" s="99">
        <f>F199/D199</f>
        <v>895</v>
      </c>
      <c r="F199" s="99">
        <f>SUM(F200:F204)</f>
        <v>895</v>
      </c>
      <c r="G199" s="1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4.4" hidden="1" outlineLevel="2" x14ac:dyDescent="0.3">
      <c r="A200" s="101" t="s">
        <v>240</v>
      </c>
      <c r="B200" s="102" t="s">
        <v>327</v>
      </c>
      <c r="C200" s="122" t="s">
        <v>20</v>
      </c>
      <c r="D200" s="122">
        <v>1</v>
      </c>
      <c r="E200" s="103">
        <v>300</v>
      </c>
      <c r="F200" s="104">
        <f t="shared" ref="F200:F205" si="28">(E200*D200)*D199</f>
        <v>300</v>
      </c>
      <c r="G200" s="1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4.4" hidden="1" outlineLevel="2" x14ac:dyDescent="0.3">
      <c r="A201" s="101" t="s">
        <v>238</v>
      </c>
      <c r="B201" s="102" t="s">
        <v>328</v>
      </c>
      <c r="C201" s="122" t="s">
        <v>20</v>
      </c>
      <c r="D201" s="122">
        <v>1</v>
      </c>
      <c r="E201" s="103">
        <v>25</v>
      </c>
      <c r="F201" s="104">
        <f t="shared" si="28"/>
        <v>25</v>
      </c>
      <c r="G201" s="1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4.4" hidden="1" outlineLevel="2" x14ac:dyDescent="0.3">
      <c r="A202" s="101" t="s">
        <v>238</v>
      </c>
      <c r="B202" s="102" t="s">
        <v>329</v>
      </c>
      <c r="C202" s="122" t="s">
        <v>20</v>
      </c>
      <c r="D202" s="122">
        <v>1</v>
      </c>
      <c r="E202" s="103">
        <v>200</v>
      </c>
      <c r="F202" s="104">
        <f t="shared" si="28"/>
        <v>200</v>
      </c>
      <c r="G202" s="1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4.4" hidden="1" outlineLevel="2" x14ac:dyDescent="0.3">
      <c r="A203" s="101" t="s">
        <v>238</v>
      </c>
      <c r="B203" s="102" t="s">
        <v>335</v>
      </c>
      <c r="C203" s="122" t="s">
        <v>20</v>
      </c>
      <c r="D203" s="122">
        <v>1</v>
      </c>
      <c r="E203" s="103">
        <v>250</v>
      </c>
      <c r="F203" s="104">
        <f t="shared" si="28"/>
        <v>250</v>
      </c>
      <c r="G203" s="1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4.4" hidden="1" outlineLevel="2" x14ac:dyDescent="0.3">
      <c r="A204" s="101" t="s">
        <v>238</v>
      </c>
      <c r="B204" s="102" t="s">
        <v>331</v>
      </c>
      <c r="C204" s="122" t="s">
        <v>20</v>
      </c>
      <c r="D204" s="122">
        <v>1</v>
      </c>
      <c r="E204" s="103">
        <v>120</v>
      </c>
      <c r="F204" s="104">
        <f t="shared" si="28"/>
        <v>120</v>
      </c>
      <c r="G204" s="1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4.4" hidden="1" outlineLevel="2" x14ac:dyDescent="0.3">
      <c r="A205" s="101" t="s">
        <v>238</v>
      </c>
      <c r="B205" s="129" t="s">
        <v>334</v>
      </c>
      <c r="C205" s="122" t="s">
        <v>20</v>
      </c>
      <c r="D205" s="122">
        <v>1</v>
      </c>
      <c r="E205" s="103">
        <v>70</v>
      </c>
      <c r="F205" s="104">
        <f t="shared" si="28"/>
        <v>70</v>
      </c>
      <c r="G205" s="1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4.4" hidden="1" outlineLevel="2" x14ac:dyDescent="0.3">
      <c r="A206" s="105"/>
      <c r="B206" s="106"/>
      <c r="C206" s="125"/>
      <c r="D206" s="130">
        <f>F200/D199</f>
        <v>300</v>
      </c>
      <c r="E206" s="130" t="s">
        <v>238</v>
      </c>
      <c r="F206" s="130">
        <f>SUM(F201:F205)/D199</f>
        <v>665</v>
      </c>
      <c r="G206" s="1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4.4" hidden="1" outlineLevel="1" collapsed="1" x14ac:dyDescent="0.3">
      <c r="A207" s="112" t="str">
        <f>'1. BRIEFING'!A63</f>
        <v>9.4</v>
      </c>
      <c r="B207" s="113" t="str">
        <f>'1. BRIEFING'!B63</f>
        <v>FORNECIMENTO E INSTALAÇÃO DE PORTA EM MADEIRA 0,90 X 2,10 M l COMPLETA</v>
      </c>
      <c r="C207" s="100" t="str">
        <f>'1. BRIEFING'!C63</f>
        <v>UN</v>
      </c>
      <c r="D207" s="127">
        <f>'1. BRIEFING'!D63</f>
        <v>1</v>
      </c>
      <c r="E207" s="99">
        <f>F207/D207</f>
        <v>895</v>
      </c>
      <c r="F207" s="99">
        <f>SUM(F208:F212)</f>
        <v>895</v>
      </c>
      <c r="G207" s="1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4.4" hidden="1" outlineLevel="2" x14ac:dyDescent="0.3">
      <c r="A208" s="101" t="s">
        <v>240</v>
      </c>
      <c r="B208" s="102" t="s">
        <v>327</v>
      </c>
      <c r="C208" s="122" t="s">
        <v>20</v>
      </c>
      <c r="D208" s="122">
        <v>1</v>
      </c>
      <c r="E208" s="103">
        <v>300</v>
      </c>
      <c r="F208" s="104">
        <f t="shared" ref="F208:F213" si="29">(E208*D208)*D207</f>
        <v>300</v>
      </c>
      <c r="G208" s="1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4.4" hidden="1" outlineLevel="2" x14ac:dyDescent="0.3">
      <c r="A209" s="101" t="s">
        <v>238</v>
      </c>
      <c r="B209" s="102" t="s">
        <v>328</v>
      </c>
      <c r="C209" s="122" t="s">
        <v>20</v>
      </c>
      <c r="D209" s="122">
        <v>1</v>
      </c>
      <c r="E209" s="103">
        <v>25</v>
      </c>
      <c r="F209" s="104">
        <f t="shared" si="29"/>
        <v>25</v>
      </c>
      <c r="G209" s="1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4.4" hidden="1" outlineLevel="2" x14ac:dyDescent="0.3">
      <c r="A210" s="101" t="s">
        <v>238</v>
      </c>
      <c r="B210" s="102" t="s">
        <v>329</v>
      </c>
      <c r="C210" s="122" t="s">
        <v>20</v>
      </c>
      <c r="D210" s="122">
        <v>1</v>
      </c>
      <c r="E210" s="103">
        <v>200</v>
      </c>
      <c r="F210" s="104">
        <f t="shared" si="29"/>
        <v>200</v>
      </c>
      <c r="G210" s="1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4.4" hidden="1" outlineLevel="2" x14ac:dyDescent="0.3">
      <c r="A211" s="101" t="s">
        <v>238</v>
      </c>
      <c r="B211" s="102" t="s">
        <v>336</v>
      </c>
      <c r="C211" s="122" t="s">
        <v>20</v>
      </c>
      <c r="D211" s="122">
        <v>1</v>
      </c>
      <c r="E211" s="103">
        <v>250</v>
      </c>
      <c r="F211" s="104">
        <f t="shared" si="29"/>
        <v>250</v>
      </c>
      <c r="G211" s="1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4.4" hidden="1" outlineLevel="2" x14ac:dyDescent="0.3">
      <c r="A212" s="101" t="s">
        <v>238</v>
      </c>
      <c r="B212" s="102" t="s">
        <v>331</v>
      </c>
      <c r="C212" s="122" t="s">
        <v>20</v>
      </c>
      <c r="D212" s="122">
        <v>1</v>
      </c>
      <c r="E212" s="103">
        <v>120</v>
      </c>
      <c r="F212" s="104">
        <f t="shared" si="29"/>
        <v>120</v>
      </c>
      <c r="G212" s="1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4.4" hidden="1" outlineLevel="2" x14ac:dyDescent="0.3">
      <c r="A213" s="101" t="s">
        <v>238</v>
      </c>
      <c r="B213" s="129" t="s">
        <v>334</v>
      </c>
      <c r="C213" s="122" t="s">
        <v>20</v>
      </c>
      <c r="D213" s="122">
        <v>1</v>
      </c>
      <c r="E213" s="103">
        <v>70</v>
      </c>
      <c r="F213" s="104">
        <f t="shared" si="29"/>
        <v>70</v>
      </c>
      <c r="G213" s="1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4.4" hidden="1" outlineLevel="2" x14ac:dyDescent="0.3">
      <c r="A214" s="105"/>
      <c r="B214" s="106"/>
      <c r="C214" s="125"/>
      <c r="D214" s="130">
        <f>F208/D207</f>
        <v>300</v>
      </c>
      <c r="E214" s="130" t="s">
        <v>238</v>
      </c>
      <c r="F214" s="130">
        <f>SUM(F209:F213)/D207</f>
        <v>665</v>
      </c>
      <c r="G214" s="1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4.4" collapsed="1" x14ac:dyDescent="0.3">
      <c r="A215" s="115">
        <f>'1. BRIEFING'!A66</f>
        <v>10</v>
      </c>
      <c r="B215" s="116" t="str">
        <f>'1. BRIEFING'!B66</f>
        <v>SERVIÇO DE MARMORARIA</v>
      </c>
      <c r="C215" s="117"/>
      <c r="D215" s="117"/>
      <c r="E215" s="118"/>
      <c r="F215" s="118"/>
      <c r="G215" s="94"/>
      <c r="H215" s="94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4.4" hidden="1" outlineLevel="1" collapsed="1" x14ac:dyDescent="0.3">
      <c r="A216" s="112" t="str">
        <f>'1. BRIEFING'!A67</f>
        <v>10.1</v>
      </c>
      <c r="B216" s="113" t="str">
        <f>'1. BRIEFING'!B67</f>
        <v>FORNECIMENTO E INSTALAÇÃO DE BANCADA EM GRANITO</v>
      </c>
      <c r="C216" s="100" t="str">
        <f>'1. BRIEFING'!C67</f>
        <v>VB</v>
      </c>
      <c r="D216" s="127">
        <f>'1. BRIEFING'!D67</f>
        <v>1</v>
      </c>
      <c r="E216" s="99">
        <f>F216/D216</f>
        <v>2050</v>
      </c>
      <c r="F216" s="99">
        <f>SUM(F217:F218)</f>
        <v>2050</v>
      </c>
      <c r="G216" s="1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4.4" hidden="1" outlineLevel="2" x14ac:dyDescent="0.3">
      <c r="A217" s="101" t="s">
        <v>238</v>
      </c>
      <c r="B217" s="102" t="s">
        <v>337</v>
      </c>
      <c r="C217" s="122" t="s">
        <v>23</v>
      </c>
      <c r="D217" s="122">
        <v>1</v>
      </c>
      <c r="E217" s="103">
        <v>1500</v>
      </c>
      <c r="F217" s="104">
        <f t="shared" ref="F217:F218" si="30">(E217*D217)*D216</f>
        <v>1500</v>
      </c>
      <c r="G217" s="1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4.4" hidden="1" outlineLevel="2" x14ac:dyDescent="0.3">
      <c r="A218" s="101" t="s">
        <v>240</v>
      </c>
      <c r="B218" s="102" t="s">
        <v>338</v>
      </c>
      <c r="C218" s="122" t="s">
        <v>23</v>
      </c>
      <c r="D218" s="122">
        <v>1</v>
      </c>
      <c r="E218" s="103">
        <v>550</v>
      </c>
      <c r="F218" s="104">
        <f t="shared" si="30"/>
        <v>550</v>
      </c>
      <c r="G218" s="1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4.4" hidden="1" outlineLevel="2" x14ac:dyDescent="0.3">
      <c r="A219" s="105"/>
      <c r="B219" s="106"/>
      <c r="C219" s="125"/>
      <c r="D219" s="130">
        <f>F218/D216</f>
        <v>550</v>
      </c>
      <c r="E219" s="130" t="s">
        <v>238</v>
      </c>
      <c r="F219" s="130">
        <f>SUM(F217)/D216</f>
        <v>1500</v>
      </c>
      <c r="G219" s="1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4.4" hidden="1" outlineLevel="1" collapsed="1" x14ac:dyDescent="0.3">
      <c r="A220" s="112" t="str">
        <f>'1. BRIEFING'!A68</f>
        <v>10.2</v>
      </c>
      <c r="B220" s="113" t="str">
        <f>'1. BRIEFING'!B68</f>
        <v>FORNECIMENTO E INSTALAÇÃO DE NICHO EM GRANITO</v>
      </c>
      <c r="C220" s="100" t="str">
        <f>'1. BRIEFING'!C68</f>
        <v>VB</v>
      </c>
      <c r="D220" s="127">
        <f>'1. BRIEFING'!D68</f>
        <v>1</v>
      </c>
      <c r="E220" s="99">
        <f>F220/D220</f>
        <v>325</v>
      </c>
      <c r="F220" s="99">
        <f>SUM(F221:F222)</f>
        <v>325</v>
      </c>
      <c r="G220" s="1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4.4" hidden="1" outlineLevel="2" x14ac:dyDescent="0.3">
      <c r="A221" s="101" t="s">
        <v>238</v>
      </c>
      <c r="B221" s="102" t="s">
        <v>339</v>
      </c>
      <c r="C221" s="122" t="s">
        <v>23</v>
      </c>
      <c r="D221" s="122">
        <v>1</v>
      </c>
      <c r="E221" s="103">
        <v>300</v>
      </c>
      <c r="F221" s="104">
        <f t="shared" ref="F221:F222" si="31">(E221*D221)*D220</f>
        <v>300</v>
      </c>
      <c r="G221" s="1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4.4" hidden="1" outlineLevel="2" x14ac:dyDescent="0.3">
      <c r="A222" s="101" t="s">
        <v>240</v>
      </c>
      <c r="B222" s="102" t="s">
        <v>338</v>
      </c>
      <c r="C222" s="122" t="s">
        <v>20</v>
      </c>
      <c r="D222" s="122">
        <v>1</v>
      </c>
      <c r="E222" s="103">
        <v>25</v>
      </c>
      <c r="F222" s="104">
        <f t="shared" si="31"/>
        <v>25</v>
      </c>
      <c r="G222" s="1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4.4" hidden="1" outlineLevel="2" x14ac:dyDescent="0.3">
      <c r="A223" s="105"/>
      <c r="B223" s="106"/>
      <c r="C223" s="125"/>
      <c r="D223" s="130">
        <f>F222/D220</f>
        <v>25</v>
      </c>
      <c r="E223" s="130" t="s">
        <v>238</v>
      </c>
      <c r="F223" s="130">
        <f>SUM(F221)/D220</f>
        <v>300</v>
      </c>
      <c r="G223" s="1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4.4" hidden="1" outlineLevel="1" collapsed="1" x14ac:dyDescent="0.3">
      <c r="A224" s="112" t="str">
        <f>'1. BRIEFING'!A69</f>
        <v>10.3</v>
      </c>
      <c r="B224" s="113" t="str">
        <f>'1. BRIEFING'!B69</f>
        <v>FORNECIMENTO E INSTALAÇÃO DE DIVBOX EM GRANITO</v>
      </c>
      <c r="C224" s="100" t="str">
        <f>'1. BRIEFING'!C69</f>
        <v>VB</v>
      </c>
      <c r="D224" s="127">
        <f>'1. BRIEFING'!D69</f>
        <v>1</v>
      </c>
      <c r="E224" s="99">
        <f>F224/D224</f>
        <v>325</v>
      </c>
      <c r="F224" s="99">
        <f>SUM(F225:F226)</f>
        <v>325</v>
      </c>
      <c r="G224" s="1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4.4" hidden="1" outlineLevel="2" x14ac:dyDescent="0.3">
      <c r="A225" s="101" t="s">
        <v>238</v>
      </c>
      <c r="B225" s="102" t="s">
        <v>339</v>
      </c>
      <c r="C225" s="122" t="s">
        <v>23</v>
      </c>
      <c r="D225" s="122">
        <v>1</v>
      </c>
      <c r="E225" s="103">
        <v>300</v>
      </c>
      <c r="F225" s="104">
        <f t="shared" ref="F225:F226" si="32">(E225*D225)*D224</f>
        <v>300</v>
      </c>
      <c r="G225" s="1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4.4" hidden="1" outlineLevel="2" x14ac:dyDescent="0.3">
      <c r="A226" s="101" t="s">
        <v>240</v>
      </c>
      <c r="B226" s="102" t="s">
        <v>338</v>
      </c>
      <c r="C226" s="122" t="s">
        <v>20</v>
      </c>
      <c r="D226" s="122">
        <v>1</v>
      </c>
      <c r="E226" s="103">
        <v>25</v>
      </c>
      <c r="F226" s="104">
        <f t="shared" si="32"/>
        <v>25</v>
      </c>
      <c r="G226" s="1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4.4" hidden="1" outlineLevel="2" x14ac:dyDescent="0.3">
      <c r="A227" s="105"/>
      <c r="B227" s="106"/>
      <c r="C227" s="125"/>
      <c r="D227" s="130">
        <f>F226/D224</f>
        <v>25</v>
      </c>
      <c r="E227" s="130" t="s">
        <v>238</v>
      </c>
      <c r="F227" s="130">
        <f>SUM(F225)/D224</f>
        <v>300</v>
      </c>
      <c r="G227" s="1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4.4" hidden="1" outlineLevel="1" collapsed="1" x14ac:dyDescent="0.3">
      <c r="A228" s="112" t="str">
        <f>'1. BRIEFING'!A70</f>
        <v>10.4</v>
      </c>
      <c r="B228" s="113" t="str">
        <f>'1. BRIEFING'!B70</f>
        <v>FORNECIMENTO E INSTALAÇÃO DE NICHO EM GRANITO</v>
      </c>
      <c r="C228" s="100" t="str">
        <f>'1. BRIEFING'!C70</f>
        <v>VB</v>
      </c>
      <c r="D228" s="127">
        <f>'1. BRIEFING'!D70</f>
        <v>1</v>
      </c>
      <c r="E228" s="99">
        <f>F228/D228</f>
        <v>325</v>
      </c>
      <c r="F228" s="99">
        <f>SUM(F229:F230)</f>
        <v>325</v>
      </c>
      <c r="G228" s="1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4.4" hidden="1" outlineLevel="2" x14ac:dyDescent="0.3">
      <c r="A229" s="101" t="s">
        <v>238</v>
      </c>
      <c r="B229" s="102" t="s">
        <v>339</v>
      </c>
      <c r="C229" s="122" t="s">
        <v>23</v>
      </c>
      <c r="D229" s="122">
        <v>1</v>
      </c>
      <c r="E229" s="103">
        <v>300</v>
      </c>
      <c r="F229" s="104">
        <f t="shared" ref="F229:F230" si="33">(E229*D229)*D228</f>
        <v>300</v>
      </c>
      <c r="G229" s="1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4.4" hidden="1" outlineLevel="2" x14ac:dyDescent="0.3">
      <c r="A230" s="101" t="s">
        <v>240</v>
      </c>
      <c r="B230" s="102" t="s">
        <v>338</v>
      </c>
      <c r="C230" s="122" t="s">
        <v>20</v>
      </c>
      <c r="D230" s="122">
        <v>1</v>
      </c>
      <c r="E230" s="103">
        <v>25</v>
      </c>
      <c r="F230" s="104">
        <f t="shared" si="33"/>
        <v>25</v>
      </c>
      <c r="G230" s="1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4.4" hidden="1" outlineLevel="2" x14ac:dyDescent="0.3">
      <c r="A231" s="105"/>
      <c r="B231" s="106"/>
      <c r="C231" s="125"/>
      <c r="D231" s="130">
        <f>F230/D228</f>
        <v>25</v>
      </c>
      <c r="E231" s="130" t="s">
        <v>238</v>
      </c>
      <c r="F231" s="130">
        <f>SUM(F229)/D228</f>
        <v>300</v>
      </c>
      <c r="G231" s="1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4.4" collapsed="1" x14ac:dyDescent="0.3">
      <c r="A232" s="132">
        <f>'1. BRIEFING'!A71</f>
        <v>11</v>
      </c>
      <c r="B232" s="133" t="str">
        <f>'1. BRIEFING'!B71</f>
        <v>REVESTIMENTO EM ARGAMASSA</v>
      </c>
      <c r="C232" s="132"/>
      <c r="D232" s="132"/>
      <c r="E232" s="134"/>
      <c r="F232" s="134"/>
      <c r="G232" s="94"/>
      <c r="H232" s="94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4.4" hidden="1" outlineLevel="1" collapsed="1" x14ac:dyDescent="0.3">
      <c r="A233" s="112" t="str">
        <f>'1. BRIEFING'!A72</f>
        <v>11.1</v>
      </c>
      <c r="B233" s="113" t="str">
        <f>'1. BRIEFING'!B72</f>
        <v>APLICAÇÃO DE CHAPISCO E REBOCO EM PAREDE DE ALVENARIA NOVA</v>
      </c>
      <c r="C233" s="100" t="str">
        <f>'1. BRIEFING'!C72</f>
        <v>M²</v>
      </c>
      <c r="D233" s="127">
        <f>'1. BRIEFING'!D72</f>
        <v>1</v>
      </c>
      <c r="E233" s="99">
        <f>F233/D233</f>
        <v>151.65</v>
      </c>
      <c r="F233" s="99">
        <f>SUM(F234:F237)</f>
        <v>151.65</v>
      </c>
      <c r="G233" s="1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4.4" hidden="1" outlineLevel="2" x14ac:dyDescent="0.3">
      <c r="A234" s="101" t="s">
        <v>240</v>
      </c>
      <c r="B234" s="102" t="s">
        <v>340</v>
      </c>
      <c r="C234" s="122" t="s">
        <v>29</v>
      </c>
      <c r="D234" s="135">
        <v>1</v>
      </c>
      <c r="E234" s="103">
        <v>30</v>
      </c>
      <c r="F234" s="104">
        <f t="shared" ref="F234:F237" si="34">(E234*D234)*D233</f>
        <v>30</v>
      </c>
      <c r="G234" s="1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4.4" hidden="1" outlineLevel="2" x14ac:dyDescent="0.3">
      <c r="A235" s="101" t="s">
        <v>238</v>
      </c>
      <c r="B235" s="102" t="s">
        <v>341</v>
      </c>
      <c r="C235" s="122" t="s">
        <v>318</v>
      </c>
      <c r="D235" s="135">
        <v>1</v>
      </c>
      <c r="E235" s="103">
        <v>0.65</v>
      </c>
      <c r="F235" s="104">
        <f t="shared" si="34"/>
        <v>0.65</v>
      </c>
      <c r="G235" s="1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4.4" hidden="1" outlineLevel="2" x14ac:dyDescent="0.3">
      <c r="A236" s="101" t="s">
        <v>238</v>
      </c>
      <c r="B236" s="102" t="s">
        <v>342</v>
      </c>
      <c r="C236" s="122" t="s">
        <v>264</v>
      </c>
      <c r="D236" s="135">
        <v>1</v>
      </c>
      <c r="E236" s="103">
        <v>120</v>
      </c>
      <c r="F236" s="104">
        <f t="shared" si="34"/>
        <v>120</v>
      </c>
      <c r="G236" s="1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4.4" hidden="1" outlineLevel="2" x14ac:dyDescent="0.3">
      <c r="A237" s="101" t="s">
        <v>238</v>
      </c>
      <c r="B237" s="102" t="s">
        <v>343</v>
      </c>
      <c r="C237" s="122" t="s">
        <v>318</v>
      </c>
      <c r="D237" s="135">
        <v>1</v>
      </c>
      <c r="E237" s="103">
        <v>1</v>
      </c>
      <c r="F237" s="104">
        <f t="shared" si="34"/>
        <v>1</v>
      </c>
      <c r="G237" s="1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4.4" hidden="1" outlineLevel="2" x14ac:dyDescent="0.3">
      <c r="A238" s="105"/>
      <c r="B238" s="106"/>
      <c r="C238" s="125"/>
      <c r="D238" s="130">
        <f>F234/D233</f>
        <v>30</v>
      </c>
      <c r="E238" s="130" t="s">
        <v>238</v>
      </c>
      <c r="F238" s="130">
        <f>SUM(F235:F237)/D233</f>
        <v>121.65</v>
      </c>
      <c r="G238" s="1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4.4" hidden="1" outlineLevel="1" collapsed="1" x14ac:dyDescent="0.3">
      <c r="A239" s="112" t="str">
        <f>'1. BRIEFING'!A73</f>
        <v>11.2</v>
      </c>
      <c r="B239" s="113" t="str">
        <f>'1. BRIEFING'!B73</f>
        <v>REGULARIZAÇÃO COM REBOCO FINO PARA RECEBIMENTO DE REVESTIMENTO NOVO</v>
      </c>
      <c r="C239" s="100" t="str">
        <f>'1. BRIEFING'!C73</f>
        <v>M²</v>
      </c>
      <c r="D239" s="127">
        <f>'1. BRIEFING'!D73</f>
        <v>1</v>
      </c>
      <c r="E239" s="99">
        <f>F239/D239</f>
        <v>151.65</v>
      </c>
      <c r="F239" s="99">
        <f>SUM(F240:F243)</f>
        <v>151.65</v>
      </c>
      <c r="G239" s="1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4.4" hidden="1" outlineLevel="2" x14ac:dyDescent="0.3">
      <c r="A240" s="101" t="s">
        <v>240</v>
      </c>
      <c r="B240" s="102" t="s">
        <v>344</v>
      </c>
      <c r="C240" s="122" t="s">
        <v>29</v>
      </c>
      <c r="D240" s="135">
        <v>1</v>
      </c>
      <c r="E240" s="103">
        <v>30</v>
      </c>
      <c r="F240" s="104">
        <f t="shared" ref="F240:F243" si="35">(E240*D240)*D239</f>
        <v>30</v>
      </c>
      <c r="G240" s="1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4.4" hidden="1" outlineLevel="2" x14ac:dyDescent="0.3">
      <c r="A241" s="101" t="s">
        <v>238</v>
      </c>
      <c r="B241" s="102" t="s">
        <v>341</v>
      </c>
      <c r="C241" s="122" t="s">
        <v>318</v>
      </c>
      <c r="D241" s="135">
        <v>1</v>
      </c>
      <c r="E241" s="103">
        <v>0.65</v>
      </c>
      <c r="F241" s="104">
        <f t="shared" si="35"/>
        <v>0.65</v>
      </c>
      <c r="G241" s="1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4.4" hidden="1" outlineLevel="2" x14ac:dyDescent="0.3">
      <c r="A242" s="101" t="s">
        <v>238</v>
      </c>
      <c r="B242" s="102" t="s">
        <v>342</v>
      </c>
      <c r="C242" s="122" t="s">
        <v>264</v>
      </c>
      <c r="D242" s="135">
        <v>1</v>
      </c>
      <c r="E242" s="103">
        <v>120</v>
      </c>
      <c r="F242" s="104">
        <f t="shared" si="35"/>
        <v>120</v>
      </c>
      <c r="G242" s="1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4.4" hidden="1" outlineLevel="2" x14ac:dyDescent="0.3">
      <c r="A243" s="101" t="s">
        <v>238</v>
      </c>
      <c r="B243" s="102" t="s">
        <v>343</v>
      </c>
      <c r="C243" s="122" t="s">
        <v>318</v>
      </c>
      <c r="D243" s="135">
        <v>1</v>
      </c>
      <c r="E243" s="103">
        <v>1</v>
      </c>
      <c r="F243" s="104">
        <f t="shared" si="35"/>
        <v>1</v>
      </c>
      <c r="G243" s="1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4.4" hidden="1" outlineLevel="2" x14ac:dyDescent="0.3">
      <c r="A244" s="105"/>
      <c r="B244" s="106"/>
      <c r="C244" s="125"/>
      <c r="D244" s="130">
        <f>F240/D239</f>
        <v>30</v>
      </c>
      <c r="E244" s="130" t="s">
        <v>238</v>
      </c>
      <c r="F244" s="130">
        <f>SUM(F241:F243)/D239</f>
        <v>121.65</v>
      </c>
      <c r="G244" s="1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4.4" hidden="1" outlineLevel="1" collapsed="1" x14ac:dyDescent="0.3">
      <c r="A245" s="112" t="str">
        <f>'1. BRIEFING'!A74</f>
        <v>11.3</v>
      </c>
      <c r="B245" s="113" t="str">
        <f>'1. BRIEFING'!B74</f>
        <v>REGULARIZAÇÃO DE PISO COM ATÉ 5 CM PARA RECEBIMENTO DE REVESTIMENTO NONO</v>
      </c>
      <c r="C245" s="100" t="str">
        <f>'1. BRIEFING'!C74</f>
        <v>M²</v>
      </c>
      <c r="D245" s="127">
        <f>'1. BRIEFING'!D74</f>
        <v>1</v>
      </c>
      <c r="E245" s="99">
        <f>F245/D245</f>
        <v>151.65</v>
      </c>
      <c r="F245" s="99">
        <f>SUM(F246:F249)</f>
        <v>151.65</v>
      </c>
      <c r="G245" s="1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4.4" hidden="1" outlineLevel="2" x14ac:dyDescent="0.3">
      <c r="A246" s="101" t="s">
        <v>240</v>
      </c>
      <c r="B246" s="102" t="s">
        <v>345</v>
      </c>
      <c r="C246" s="122" t="s">
        <v>29</v>
      </c>
      <c r="D246" s="135">
        <v>1</v>
      </c>
      <c r="E246" s="103">
        <v>30</v>
      </c>
      <c r="F246" s="104">
        <f t="shared" ref="F246:F249" si="36">(E246*D246)*D245</f>
        <v>30</v>
      </c>
      <c r="G246" s="1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4.4" hidden="1" outlineLevel="2" x14ac:dyDescent="0.3">
      <c r="A247" s="101" t="s">
        <v>238</v>
      </c>
      <c r="B247" s="102" t="s">
        <v>341</v>
      </c>
      <c r="C247" s="122" t="s">
        <v>318</v>
      </c>
      <c r="D247" s="135">
        <v>1</v>
      </c>
      <c r="E247" s="103">
        <v>0.65</v>
      </c>
      <c r="F247" s="104">
        <f t="shared" si="36"/>
        <v>0.65</v>
      </c>
      <c r="G247" s="1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4.4" hidden="1" outlineLevel="2" x14ac:dyDescent="0.3">
      <c r="A248" s="101" t="s">
        <v>238</v>
      </c>
      <c r="B248" s="102" t="s">
        <v>342</v>
      </c>
      <c r="C248" s="122" t="s">
        <v>264</v>
      </c>
      <c r="D248" s="135">
        <v>1</v>
      </c>
      <c r="E248" s="103">
        <v>120</v>
      </c>
      <c r="F248" s="104">
        <f t="shared" si="36"/>
        <v>120</v>
      </c>
      <c r="G248" s="1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4.4" hidden="1" outlineLevel="2" x14ac:dyDescent="0.3">
      <c r="A249" s="101" t="s">
        <v>238</v>
      </c>
      <c r="B249" s="102" t="s">
        <v>343</v>
      </c>
      <c r="C249" s="122" t="s">
        <v>318</v>
      </c>
      <c r="D249" s="135">
        <v>1</v>
      </c>
      <c r="E249" s="103">
        <v>1</v>
      </c>
      <c r="F249" s="104">
        <f t="shared" si="36"/>
        <v>1</v>
      </c>
      <c r="G249" s="1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4.4" hidden="1" outlineLevel="2" x14ac:dyDescent="0.3">
      <c r="A250" s="105"/>
      <c r="B250" s="106"/>
      <c r="C250" s="125"/>
      <c r="D250" s="130">
        <f>F246/D245</f>
        <v>30</v>
      </c>
      <c r="E250" s="130" t="s">
        <v>238</v>
      </c>
      <c r="F250" s="130">
        <f>SUM(F247:F249)/D245</f>
        <v>121.65</v>
      </c>
      <c r="G250" s="1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4.4" collapsed="1" x14ac:dyDescent="0.3">
      <c r="A251" s="115">
        <f>'1. BRIEFING'!A75</f>
        <v>12</v>
      </c>
      <c r="B251" s="116" t="str">
        <f>'1. BRIEFING'!B75</f>
        <v xml:space="preserve">REVESTIMENTO EM PORCELANATO </v>
      </c>
      <c r="C251" s="117"/>
      <c r="D251" s="117"/>
      <c r="E251" s="118"/>
      <c r="F251" s="118"/>
      <c r="G251" s="94"/>
      <c r="H251" s="94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4.4" hidden="1" outlineLevel="1" collapsed="1" x14ac:dyDescent="0.3">
      <c r="A252" s="112" t="str">
        <f>'1. BRIEFING'!A76</f>
        <v>12.1</v>
      </c>
      <c r="B252" s="113" t="str">
        <f>'1. BRIEFING'!B76</f>
        <v>REVESTIMENTO EM PISO ÁREA COMUM  l BIANCOGRÉS CRISTALLO 60X60 CM</v>
      </c>
      <c r="C252" s="100" t="str">
        <f>'1. BRIEFING'!C76</f>
        <v>M²</v>
      </c>
      <c r="D252" s="127">
        <f>'1. BRIEFING'!D76</f>
        <v>1</v>
      </c>
      <c r="E252" s="99">
        <f>F252/D252</f>
        <v>156.18</v>
      </c>
      <c r="F252" s="99">
        <f>SUM(F253:F257)</f>
        <v>156.18</v>
      </c>
      <c r="G252" s="1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4.4" hidden="1" outlineLevel="2" x14ac:dyDescent="0.3">
      <c r="A253" s="101" t="s">
        <v>240</v>
      </c>
      <c r="B253" s="102" t="s">
        <v>346</v>
      </c>
      <c r="C253" s="122" t="s">
        <v>29</v>
      </c>
      <c r="D253" s="135">
        <v>1</v>
      </c>
      <c r="E253" s="103">
        <v>50</v>
      </c>
      <c r="F253" s="104">
        <f>(E253*D253)*D252</f>
        <v>50</v>
      </c>
      <c r="G253" s="1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4.4" hidden="1" outlineLevel="2" x14ac:dyDescent="0.3">
      <c r="A254" s="101" t="s">
        <v>238</v>
      </c>
      <c r="B254" s="102" t="s">
        <v>347</v>
      </c>
      <c r="C254" s="122" t="s">
        <v>318</v>
      </c>
      <c r="D254" s="135">
        <v>10</v>
      </c>
      <c r="E254" s="103">
        <v>1.5</v>
      </c>
      <c r="F254" s="104">
        <f>(E254*D254)*D252</f>
        <v>15</v>
      </c>
      <c r="G254" s="1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4.4" hidden="1" outlineLevel="2" x14ac:dyDescent="0.3">
      <c r="A255" s="101" t="s">
        <v>238</v>
      </c>
      <c r="B255" s="102" t="s">
        <v>348</v>
      </c>
      <c r="C255" s="122" t="s">
        <v>318</v>
      </c>
      <c r="D255" s="135">
        <v>0.15</v>
      </c>
      <c r="E255" s="103">
        <v>5.2</v>
      </c>
      <c r="F255" s="104">
        <f>(E255*D255)*D252</f>
        <v>0.78</v>
      </c>
      <c r="G255" s="1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4.4" hidden="1" outlineLevel="2" x14ac:dyDescent="0.3">
      <c r="A256" s="101" t="s">
        <v>238</v>
      </c>
      <c r="B256" s="102" t="s">
        <v>349</v>
      </c>
      <c r="C256" s="122" t="s">
        <v>20</v>
      </c>
      <c r="D256" s="135">
        <v>8</v>
      </c>
      <c r="E256" s="103">
        <v>0.3</v>
      </c>
      <c r="F256" s="104">
        <f>(E256*D256)*D252</f>
        <v>2.4</v>
      </c>
      <c r="G256" s="1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4.4" hidden="1" outlineLevel="2" x14ac:dyDescent="0.3">
      <c r="A257" s="123" t="s">
        <v>238</v>
      </c>
      <c r="B257" s="106" t="s">
        <v>350</v>
      </c>
      <c r="C257" s="122" t="s">
        <v>29</v>
      </c>
      <c r="D257" s="135">
        <v>1.1000000000000001</v>
      </c>
      <c r="E257" s="103">
        <v>80</v>
      </c>
      <c r="F257" s="104">
        <f>(E257*D257)*D252</f>
        <v>88</v>
      </c>
      <c r="G257" s="1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4.4" hidden="1" outlineLevel="2" x14ac:dyDescent="0.3">
      <c r="A258" s="105"/>
      <c r="B258" s="106"/>
      <c r="C258" s="125"/>
      <c r="D258" s="130">
        <f>F253/D252</f>
        <v>50</v>
      </c>
      <c r="E258" s="130" t="s">
        <v>238</v>
      </c>
      <c r="F258" s="130">
        <f>SUM(F254:F257)/D252</f>
        <v>106.18</v>
      </c>
      <c r="G258" s="1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4.4" hidden="1" outlineLevel="1" collapsed="1" x14ac:dyDescent="0.3">
      <c r="A259" s="112" t="str">
        <f>'1. BRIEFING'!A77</f>
        <v>12.2</v>
      </c>
      <c r="B259" s="113" t="str">
        <f>'1. BRIEFING'!B77</f>
        <v>REVESTIMENTO EM PISO ÁREA MOLHADA l BIANCOGRÉS CRISTALLO 60X60 CM</v>
      </c>
      <c r="C259" s="100" t="str">
        <f>'1. BRIEFING'!C77</f>
        <v>M²</v>
      </c>
      <c r="D259" s="127">
        <f>'1. BRIEFING'!D77</f>
        <v>1</v>
      </c>
      <c r="E259" s="99">
        <f>F259/D259</f>
        <v>156.18</v>
      </c>
      <c r="F259" s="99">
        <f>SUM(F260:F264)</f>
        <v>156.18</v>
      </c>
      <c r="G259" s="1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4.4" hidden="1" outlineLevel="2" x14ac:dyDescent="0.3">
      <c r="A260" s="101" t="s">
        <v>240</v>
      </c>
      <c r="B260" s="102" t="s">
        <v>346</v>
      </c>
      <c r="C260" s="122" t="s">
        <v>29</v>
      </c>
      <c r="D260" s="135">
        <v>1</v>
      </c>
      <c r="E260" s="103">
        <v>50</v>
      </c>
      <c r="F260" s="104">
        <f>(E260*D260)*D259</f>
        <v>50</v>
      </c>
      <c r="G260" s="1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4.4" hidden="1" outlineLevel="2" x14ac:dyDescent="0.3">
      <c r="A261" s="101" t="s">
        <v>238</v>
      </c>
      <c r="B261" s="102" t="s">
        <v>347</v>
      </c>
      <c r="C261" s="122" t="s">
        <v>318</v>
      </c>
      <c r="D261" s="135">
        <v>10</v>
      </c>
      <c r="E261" s="103">
        <v>1.5</v>
      </c>
      <c r="F261" s="104">
        <f>(E261*D261)*D259</f>
        <v>15</v>
      </c>
      <c r="G261" s="1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4.4" hidden="1" outlineLevel="2" x14ac:dyDescent="0.3">
      <c r="A262" s="101" t="s">
        <v>238</v>
      </c>
      <c r="B262" s="102" t="s">
        <v>348</v>
      </c>
      <c r="C262" s="122" t="s">
        <v>318</v>
      </c>
      <c r="D262" s="135">
        <v>0.15</v>
      </c>
      <c r="E262" s="103">
        <v>5.2</v>
      </c>
      <c r="F262" s="104">
        <f>(E262*D262)*D259</f>
        <v>0.78</v>
      </c>
      <c r="G262" s="1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4.4" hidden="1" outlineLevel="2" x14ac:dyDescent="0.3">
      <c r="A263" s="101" t="s">
        <v>238</v>
      </c>
      <c r="B263" s="102" t="s">
        <v>349</v>
      </c>
      <c r="C263" s="122" t="s">
        <v>20</v>
      </c>
      <c r="D263" s="135">
        <v>8</v>
      </c>
      <c r="E263" s="103">
        <v>0.3</v>
      </c>
      <c r="F263" s="104">
        <f>(E263*D263)*D259</f>
        <v>2.4</v>
      </c>
      <c r="G263" s="1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4.4" hidden="1" outlineLevel="2" x14ac:dyDescent="0.3">
      <c r="A264" s="123" t="s">
        <v>238</v>
      </c>
      <c r="B264" s="106" t="s">
        <v>350</v>
      </c>
      <c r="C264" s="122" t="s">
        <v>29</v>
      </c>
      <c r="D264" s="135">
        <v>1.1000000000000001</v>
      </c>
      <c r="E264" s="103">
        <v>80</v>
      </c>
      <c r="F264" s="104">
        <f>(E264*D264)*D259</f>
        <v>88</v>
      </c>
      <c r="G264" s="1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4.4" hidden="1" outlineLevel="2" x14ac:dyDescent="0.3">
      <c r="A265" s="105"/>
      <c r="B265" s="106"/>
      <c r="C265" s="125"/>
      <c r="D265" s="130">
        <f>F260/D259</f>
        <v>50</v>
      </c>
      <c r="E265" s="130" t="s">
        <v>238</v>
      </c>
      <c r="F265" s="130">
        <f>SUM(F261:F264)/D259</f>
        <v>106.18</v>
      </c>
      <c r="G265" s="1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4.4" hidden="1" outlineLevel="1" collapsed="1" x14ac:dyDescent="0.3">
      <c r="A266" s="112" t="str">
        <f>'1. BRIEFING'!A78</f>
        <v>12.3</v>
      </c>
      <c r="B266" s="113" t="str">
        <f>'1. BRIEFING'!B78</f>
        <v>REVESTIMENTO EM PAREDE COZINHA l POINTER 60X60 CM</v>
      </c>
      <c r="C266" s="100" t="str">
        <f>'1. BRIEFING'!C78</f>
        <v>M²</v>
      </c>
      <c r="D266" s="127">
        <f>'1. BRIEFING'!D78</f>
        <v>1</v>
      </c>
      <c r="E266" s="99">
        <f>F266/D266</f>
        <v>382.17</v>
      </c>
      <c r="F266" s="99">
        <f>SUM(F267:F271)</f>
        <v>382.17</v>
      </c>
      <c r="G266" s="1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4.4" hidden="1" outlineLevel="2" x14ac:dyDescent="0.3">
      <c r="A267" s="101" t="s">
        <v>240</v>
      </c>
      <c r="B267" s="102" t="s">
        <v>346</v>
      </c>
      <c r="C267" s="122" t="s">
        <v>29</v>
      </c>
      <c r="D267" s="135">
        <v>1</v>
      </c>
      <c r="E267" s="103">
        <v>40</v>
      </c>
      <c r="F267" s="104">
        <f t="shared" ref="F267:F271" si="37">(E267*D267)*$D$266</f>
        <v>40</v>
      </c>
      <c r="G267" s="1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4.4" hidden="1" outlineLevel="2" x14ac:dyDescent="0.3">
      <c r="A268" s="101" t="s">
        <v>238</v>
      </c>
      <c r="B268" s="102" t="s">
        <v>347</v>
      </c>
      <c r="C268" s="122" t="s">
        <v>318</v>
      </c>
      <c r="D268" s="135">
        <v>10</v>
      </c>
      <c r="E268" s="103">
        <v>30</v>
      </c>
      <c r="F268" s="104">
        <f t="shared" si="37"/>
        <v>300</v>
      </c>
      <c r="G268" s="1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4.4" hidden="1" outlineLevel="2" x14ac:dyDescent="0.3">
      <c r="A269" s="101" t="s">
        <v>238</v>
      </c>
      <c r="B269" s="102" t="s">
        <v>348</v>
      </c>
      <c r="C269" s="122" t="s">
        <v>318</v>
      </c>
      <c r="D269" s="135">
        <v>0.15</v>
      </c>
      <c r="E269" s="103">
        <v>1.6</v>
      </c>
      <c r="F269" s="104">
        <f t="shared" si="37"/>
        <v>0.24</v>
      </c>
      <c r="G269" s="1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4.4" hidden="1" outlineLevel="2" x14ac:dyDescent="0.3">
      <c r="A270" s="101" t="s">
        <v>238</v>
      </c>
      <c r="B270" s="102" t="s">
        <v>349</v>
      </c>
      <c r="C270" s="122" t="s">
        <v>20</v>
      </c>
      <c r="D270" s="135">
        <v>8</v>
      </c>
      <c r="E270" s="103">
        <v>5.2</v>
      </c>
      <c r="F270" s="104">
        <f t="shared" si="37"/>
        <v>41.6</v>
      </c>
      <c r="G270" s="1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4.4" hidden="1" outlineLevel="2" x14ac:dyDescent="0.3">
      <c r="A271" s="123" t="s">
        <v>238</v>
      </c>
      <c r="B271" s="106" t="s">
        <v>350</v>
      </c>
      <c r="C271" s="122" t="s">
        <v>29</v>
      </c>
      <c r="D271" s="135">
        <v>1.1000000000000001</v>
      </c>
      <c r="E271" s="103">
        <v>0.3</v>
      </c>
      <c r="F271" s="104">
        <f t="shared" si="37"/>
        <v>0.33</v>
      </c>
      <c r="G271" s="1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4.4" hidden="1" outlineLevel="2" x14ac:dyDescent="0.3">
      <c r="A272" s="105"/>
      <c r="B272" s="106"/>
      <c r="C272" s="125"/>
      <c r="D272" s="130">
        <f>F267/D266</f>
        <v>40</v>
      </c>
      <c r="E272" s="130" t="s">
        <v>238</v>
      </c>
      <c r="F272" s="130">
        <f>SUM(F268:F271)/D266</f>
        <v>342.17</v>
      </c>
      <c r="G272" s="1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4.4" hidden="1" outlineLevel="1" collapsed="1" x14ac:dyDescent="0.3">
      <c r="A273" s="112" t="str">
        <f>'1. BRIEFING'!A79</f>
        <v>12.4</v>
      </c>
      <c r="B273" s="113" t="str">
        <f>'1. BRIEFING'!B79</f>
        <v>REVESTIMENTO EM PAREDE BANHEIROS l POINTER 60X60 CM</v>
      </c>
      <c r="C273" s="100" t="str">
        <f>'1. BRIEFING'!C79</f>
        <v>M²</v>
      </c>
      <c r="D273" s="127">
        <f>'1. BRIEFING'!D79</f>
        <v>1</v>
      </c>
      <c r="E273" s="99">
        <f>F273/D273</f>
        <v>127.64</v>
      </c>
      <c r="F273" s="99">
        <f>SUM(F274:F278)</f>
        <v>127.64</v>
      </c>
      <c r="G273" s="1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4.4" hidden="1" outlineLevel="2" x14ac:dyDescent="0.3">
      <c r="A274" s="101" t="s">
        <v>240</v>
      </c>
      <c r="B274" s="102" t="s">
        <v>346</v>
      </c>
      <c r="C274" s="122" t="s">
        <v>29</v>
      </c>
      <c r="D274" s="135">
        <v>1</v>
      </c>
      <c r="E274" s="103">
        <v>40</v>
      </c>
      <c r="F274" s="104">
        <f t="shared" ref="F274:F278" si="38">(E274*D274)*$D$273</f>
        <v>40</v>
      </c>
      <c r="G274" s="1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4.4" hidden="1" outlineLevel="2" x14ac:dyDescent="0.3">
      <c r="A275" s="101" t="s">
        <v>238</v>
      </c>
      <c r="B275" s="102" t="s">
        <v>347</v>
      </c>
      <c r="C275" s="122" t="s">
        <v>318</v>
      </c>
      <c r="D275" s="135">
        <v>10</v>
      </c>
      <c r="E275" s="103">
        <v>5.2</v>
      </c>
      <c r="F275" s="104">
        <f t="shared" si="38"/>
        <v>52</v>
      </c>
      <c r="G275" s="1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4.4" hidden="1" outlineLevel="2" x14ac:dyDescent="0.3">
      <c r="A276" s="101" t="s">
        <v>238</v>
      </c>
      <c r="B276" s="102" t="s">
        <v>348</v>
      </c>
      <c r="C276" s="122" t="s">
        <v>318</v>
      </c>
      <c r="D276" s="135">
        <v>0.15</v>
      </c>
      <c r="E276" s="103">
        <v>1.6</v>
      </c>
      <c r="F276" s="104">
        <f t="shared" si="38"/>
        <v>0.24</v>
      </c>
      <c r="G276" s="1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4.4" hidden="1" outlineLevel="2" x14ac:dyDescent="0.3">
      <c r="A277" s="101" t="s">
        <v>238</v>
      </c>
      <c r="B277" s="102" t="s">
        <v>349</v>
      </c>
      <c r="C277" s="122" t="s">
        <v>20</v>
      </c>
      <c r="D277" s="135">
        <v>8</v>
      </c>
      <c r="E277" s="103">
        <v>0.3</v>
      </c>
      <c r="F277" s="104">
        <f t="shared" si="38"/>
        <v>2.4</v>
      </c>
      <c r="G277" s="1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4.4" hidden="1" outlineLevel="2" x14ac:dyDescent="0.3">
      <c r="A278" s="123" t="s">
        <v>238</v>
      </c>
      <c r="B278" s="106" t="s">
        <v>350</v>
      </c>
      <c r="C278" s="122" t="s">
        <v>29</v>
      </c>
      <c r="D278" s="135">
        <v>1.1000000000000001</v>
      </c>
      <c r="E278" s="103">
        <v>30</v>
      </c>
      <c r="F278" s="104">
        <f t="shared" si="38"/>
        <v>33</v>
      </c>
      <c r="G278" s="1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4.4" hidden="1" outlineLevel="2" x14ac:dyDescent="0.3">
      <c r="A279" s="105"/>
      <c r="B279" s="106"/>
      <c r="C279" s="125"/>
      <c r="D279" s="130">
        <f>F274/D273</f>
        <v>40</v>
      </c>
      <c r="E279" s="130" t="s">
        <v>238</v>
      </c>
      <c r="F279" s="130">
        <f>SUM(F275:F278)/D273</f>
        <v>87.64</v>
      </c>
      <c r="G279" s="1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4.4" hidden="1" outlineLevel="1" collapsed="1" x14ac:dyDescent="0.3">
      <c r="A280" s="112" t="str">
        <f>'1. BRIEFING'!A80</f>
        <v>12.5</v>
      </c>
      <c r="B280" s="113" t="str">
        <f>'1. BRIEFING'!B80</f>
        <v>REVESTIMENTO EM PAREDE ÁREA DE SERVIÇO l POINTER 60X60 CM</v>
      </c>
      <c r="C280" s="100" t="str">
        <f>'1. BRIEFING'!C80</f>
        <v>M²</v>
      </c>
      <c r="D280" s="127">
        <f>'1. BRIEFING'!D80</f>
        <v>1</v>
      </c>
      <c r="E280" s="99">
        <f>F280/D280</f>
        <v>127.64</v>
      </c>
      <c r="F280" s="99">
        <f>SUM(F281:F285)</f>
        <v>127.64</v>
      </c>
      <c r="G280" s="1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4.4" hidden="1" outlineLevel="2" x14ac:dyDescent="0.3">
      <c r="A281" s="101" t="s">
        <v>240</v>
      </c>
      <c r="B281" s="102" t="s">
        <v>346</v>
      </c>
      <c r="C281" s="122" t="s">
        <v>29</v>
      </c>
      <c r="D281" s="135">
        <v>1</v>
      </c>
      <c r="E281" s="103">
        <v>40</v>
      </c>
      <c r="F281" s="104">
        <f t="shared" ref="F281:F285" si="39">(E281*D281)*$D$273</f>
        <v>40</v>
      </c>
      <c r="G281" s="1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4.4" hidden="1" outlineLevel="2" x14ac:dyDescent="0.3">
      <c r="A282" s="101" t="s">
        <v>238</v>
      </c>
      <c r="B282" s="102" t="s">
        <v>347</v>
      </c>
      <c r="C282" s="122" t="s">
        <v>318</v>
      </c>
      <c r="D282" s="135">
        <v>10</v>
      </c>
      <c r="E282" s="103">
        <v>5.2</v>
      </c>
      <c r="F282" s="104">
        <f t="shared" si="39"/>
        <v>52</v>
      </c>
      <c r="G282" s="1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4.4" hidden="1" outlineLevel="2" x14ac:dyDescent="0.3">
      <c r="A283" s="101" t="s">
        <v>238</v>
      </c>
      <c r="B283" s="102" t="s">
        <v>348</v>
      </c>
      <c r="C283" s="122" t="s">
        <v>318</v>
      </c>
      <c r="D283" s="135">
        <v>0.15</v>
      </c>
      <c r="E283" s="103">
        <v>1.6</v>
      </c>
      <c r="F283" s="104">
        <f t="shared" si="39"/>
        <v>0.24</v>
      </c>
      <c r="G283" s="1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4.4" hidden="1" outlineLevel="2" x14ac:dyDescent="0.3">
      <c r="A284" s="101" t="s">
        <v>238</v>
      </c>
      <c r="B284" s="102" t="s">
        <v>349</v>
      </c>
      <c r="C284" s="122" t="s">
        <v>20</v>
      </c>
      <c r="D284" s="135">
        <v>8</v>
      </c>
      <c r="E284" s="103">
        <v>0.3</v>
      </c>
      <c r="F284" s="104">
        <f t="shared" si="39"/>
        <v>2.4</v>
      </c>
      <c r="G284" s="1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4.4" hidden="1" outlineLevel="2" x14ac:dyDescent="0.3">
      <c r="A285" s="123" t="s">
        <v>238</v>
      </c>
      <c r="B285" s="106" t="s">
        <v>350</v>
      </c>
      <c r="C285" s="122" t="s">
        <v>29</v>
      </c>
      <c r="D285" s="135">
        <v>1.1000000000000001</v>
      </c>
      <c r="E285" s="103">
        <v>30</v>
      </c>
      <c r="F285" s="104">
        <f t="shared" si="39"/>
        <v>33</v>
      </c>
      <c r="G285" s="1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4.4" hidden="1" outlineLevel="2" x14ac:dyDescent="0.3">
      <c r="A286" s="105"/>
      <c r="B286" s="106"/>
      <c r="C286" s="125"/>
      <c r="D286" s="130">
        <f>F281/D280</f>
        <v>40</v>
      </c>
      <c r="E286" s="130" t="s">
        <v>238</v>
      </c>
      <c r="F286" s="130">
        <f>SUM(F282:F285)/D280</f>
        <v>87.64</v>
      </c>
      <c r="G286" s="1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4.4" hidden="1" outlineLevel="1" collapsed="1" x14ac:dyDescent="0.3">
      <c r="A287" s="112" t="str">
        <f>'1. BRIEFING'!A81</f>
        <v>12.6</v>
      </c>
      <c r="B287" s="113" t="str">
        <f>'1. BRIEFING'!B81</f>
        <v>REVESTIMENTO EM PAREDE VARANDA l POINTER 60X60 CM</v>
      </c>
      <c r="C287" s="100" t="str">
        <f>'1. BRIEFING'!C81</f>
        <v>M²</v>
      </c>
      <c r="D287" s="127">
        <f>'1. BRIEFING'!D81</f>
        <v>1</v>
      </c>
      <c r="E287" s="99">
        <f>F287/D287</f>
        <v>127.64</v>
      </c>
      <c r="F287" s="99">
        <f>SUM(F288:F292)</f>
        <v>127.64</v>
      </c>
      <c r="G287" s="1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4.4" hidden="1" outlineLevel="2" x14ac:dyDescent="0.3">
      <c r="A288" s="101" t="s">
        <v>240</v>
      </c>
      <c r="B288" s="102" t="s">
        <v>346</v>
      </c>
      <c r="C288" s="122" t="s">
        <v>29</v>
      </c>
      <c r="D288" s="135">
        <v>1</v>
      </c>
      <c r="E288" s="103">
        <v>40</v>
      </c>
      <c r="F288" s="104">
        <f t="shared" ref="F288:F292" si="40">(E288*D288)*$D$273</f>
        <v>40</v>
      </c>
      <c r="G288" s="1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4.4" hidden="1" outlineLevel="2" x14ac:dyDescent="0.3">
      <c r="A289" s="101" t="s">
        <v>238</v>
      </c>
      <c r="B289" s="102" t="s">
        <v>347</v>
      </c>
      <c r="C289" s="122" t="s">
        <v>318</v>
      </c>
      <c r="D289" s="135">
        <v>10</v>
      </c>
      <c r="E289" s="103">
        <v>5.2</v>
      </c>
      <c r="F289" s="104">
        <f t="shared" si="40"/>
        <v>52</v>
      </c>
      <c r="G289" s="1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4.4" hidden="1" outlineLevel="2" x14ac:dyDescent="0.3">
      <c r="A290" s="101" t="s">
        <v>238</v>
      </c>
      <c r="B290" s="102" t="s">
        <v>348</v>
      </c>
      <c r="C290" s="122" t="s">
        <v>318</v>
      </c>
      <c r="D290" s="135">
        <v>0.15</v>
      </c>
      <c r="E290" s="103">
        <v>1.6</v>
      </c>
      <c r="F290" s="104">
        <f t="shared" si="40"/>
        <v>0.24</v>
      </c>
      <c r="G290" s="1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4.4" hidden="1" outlineLevel="2" x14ac:dyDescent="0.3">
      <c r="A291" s="101" t="s">
        <v>238</v>
      </c>
      <c r="B291" s="102" t="s">
        <v>349</v>
      </c>
      <c r="C291" s="122" t="s">
        <v>20</v>
      </c>
      <c r="D291" s="135">
        <v>8</v>
      </c>
      <c r="E291" s="103">
        <v>0.3</v>
      </c>
      <c r="F291" s="104">
        <f t="shared" si="40"/>
        <v>2.4</v>
      </c>
      <c r="G291" s="1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4.4" hidden="1" outlineLevel="2" x14ac:dyDescent="0.3">
      <c r="A292" s="123" t="s">
        <v>238</v>
      </c>
      <c r="B292" s="106" t="s">
        <v>350</v>
      </c>
      <c r="C292" s="122" t="s">
        <v>29</v>
      </c>
      <c r="D292" s="135">
        <v>1.1000000000000001</v>
      </c>
      <c r="E292" s="103">
        <v>30</v>
      </c>
      <c r="F292" s="104">
        <f t="shared" si="40"/>
        <v>33</v>
      </c>
      <c r="G292" s="1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4.4" hidden="1" outlineLevel="2" x14ac:dyDescent="0.3">
      <c r="A293" s="105"/>
      <c r="B293" s="106"/>
      <c r="C293" s="125"/>
      <c r="D293" s="130">
        <f>F288/D287</f>
        <v>40</v>
      </c>
      <c r="E293" s="130" t="s">
        <v>238</v>
      </c>
      <c r="F293" s="130">
        <f>SUM(F289:F292)/D287</f>
        <v>87.64</v>
      </c>
      <c r="G293" s="1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4.4" collapsed="1" x14ac:dyDescent="0.3">
      <c r="A294" s="132">
        <f>'1. BRIEFING'!A82</f>
        <v>13</v>
      </c>
      <c r="B294" s="133" t="str">
        <f>'1. BRIEFING'!B82</f>
        <v>LOUÇAS E METAIS</v>
      </c>
      <c r="C294" s="132"/>
      <c r="D294" s="132"/>
      <c r="E294" s="134"/>
      <c r="F294" s="134"/>
      <c r="G294" s="94"/>
      <c r="H294" s="94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4.4" hidden="1" outlineLevel="1" collapsed="1" x14ac:dyDescent="0.3">
      <c r="A295" s="112" t="str">
        <f>'1. BRIEFING'!A83</f>
        <v>13.1</v>
      </c>
      <c r="B295" s="113" t="str">
        <f>'1. BRIEFING'!B83</f>
        <v>INSTALAÇÃO DE VASO SANITÁRIO COM CX ACOPLADA l ECOLUS CELITE BRANCA</v>
      </c>
      <c r="C295" s="100" t="str">
        <f>'1. BRIEFING'!C83</f>
        <v>UN</v>
      </c>
      <c r="D295" s="127">
        <f>'1. BRIEFING'!D83</f>
        <v>1</v>
      </c>
      <c r="E295" s="99">
        <f>F295/D295</f>
        <v>425</v>
      </c>
      <c r="F295" s="99">
        <f>SUM(F296:F300)</f>
        <v>425</v>
      </c>
      <c r="G295" s="1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4.4" hidden="1" outlineLevel="2" x14ac:dyDescent="0.3">
      <c r="A296" s="101" t="s">
        <v>240</v>
      </c>
      <c r="B296" s="102" t="s">
        <v>351</v>
      </c>
      <c r="C296" s="101" t="s">
        <v>20</v>
      </c>
      <c r="D296" s="101">
        <v>1</v>
      </c>
      <c r="E296" s="103">
        <v>50</v>
      </c>
      <c r="F296" s="104">
        <f t="shared" ref="F296:F300" si="41">(E296*D296)*$D$295</f>
        <v>50</v>
      </c>
      <c r="G296" s="1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4.4" hidden="1" outlineLevel="2" x14ac:dyDescent="0.3">
      <c r="A297" s="101" t="s">
        <v>238</v>
      </c>
      <c r="B297" s="102" t="s">
        <v>352</v>
      </c>
      <c r="C297" s="101" t="s">
        <v>20</v>
      </c>
      <c r="D297" s="101">
        <v>1</v>
      </c>
      <c r="E297" s="103">
        <v>325</v>
      </c>
      <c r="F297" s="104">
        <f t="shared" si="41"/>
        <v>325</v>
      </c>
      <c r="G297" s="1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4.4" hidden="1" outlineLevel="2" x14ac:dyDescent="0.3">
      <c r="A298" s="101" t="s">
        <v>238</v>
      </c>
      <c r="B298" s="102" t="s">
        <v>353</v>
      </c>
      <c r="C298" s="101" t="s">
        <v>20</v>
      </c>
      <c r="D298" s="101">
        <v>1</v>
      </c>
      <c r="E298" s="103">
        <v>15</v>
      </c>
      <c r="F298" s="104">
        <f t="shared" si="41"/>
        <v>15</v>
      </c>
      <c r="G298" s="1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4.4" hidden="1" outlineLevel="2" x14ac:dyDescent="0.3">
      <c r="A299" s="101" t="s">
        <v>238</v>
      </c>
      <c r="B299" s="102" t="s">
        <v>354</v>
      </c>
      <c r="C299" s="101" t="s">
        <v>20</v>
      </c>
      <c r="D299" s="101">
        <v>1</v>
      </c>
      <c r="E299" s="103">
        <v>20</v>
      </c>
      <c r="F299" s="104">
        <f t="shared" si="41"/>
        <v>20</v>
      </c>
      <c r="G299" s="1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4.4" hidden="1" outlineLevel="2" x14ac:dyDescent="0.3">
      <c r="A300" s="101" t="s">
        <v>238</v>
      </c>
      <c r="B300" s="102" t="s">
        <v>355</v>
      </c>
      <c r="C300" s="101" t="s">
        <v>20</v>
      </c>
      <c r="D300" s="101">
        <v>1</v>
      </c>
      <c r="E300" s="103">
        <v>15</v>
      </c>
      <c r="F300" s="104">
        <f t="shared" si="41"/>
        <v>15</v>
      </c>
      <c r="G300" s="1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4.4" hidden="1" outlineLevel="2" x14ac:dyDescent="0.3">
      <c r="A301" s="105"/>
      <c r="B301" s="106"/>
      <c r="C301" s="125"/>
      <c r="D301" s="130">
        <f>F296/D295</f>
        <v>50</v>
      </c>
      <c r="E301" s="130" t="s">
        <v>238</v>
      </c>
      <c r="F301" s="130">
        <f>SUM(F297:F300)/D295</f>
        <v>375</v>
      </c>
      <c r="G301" s="1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4.4" hidden="1" outlineLevel="1" collapsed="1" x14ac:dyDescent="0.3">
      <c r="A302" s="112" t="str">
        <f>'1. BRIEFING'!A84</f>
        <v>13.2</v>
      </c>
      <c r="B302" s="113" t="str">
        <f>'1. BRIEFING'!B84</f>
        <v>INSTALAÇÃO DE CUBA SUSPENSA DE CANTO EM LOUÇA BRANCA l CELITE</v>
      </c>
      <c r="C302" s="100" t="str">
        <f>'1. BRIEFING'!C84</f>
        <v>UN</v>
      </c>
      <c r="D302" s="127">
        <f>'1. BRIEFING'!D84</f>
        <v>1</v>
      </c>
      <c r="E302" s="99">
        <f>F302/D302</f>
        <v>358.8</v>
      </c>
      <c r="F302" s="99">
        <f>SUM(F303:F307)</f>
        <v>358.8</v>
      </c>
      <c r="G302" s="1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4.4" hidden="1" outlineLevel="2" x14ac:dyDescent="0.3">
      <c r="A303" s="101" t="s">
        <v>240</v>
      </c>
      <c r="B303" s="102" t="s">
        <v>356</v>
      </c>
      <c r="C303" s="101" t="s">
        <v>20</v>
      </c>
      <c r="D303" s="101">
        <v>1</v>
      </c>
      <c r="E303" s="103">
        <v>50</v>
      </c>
      <c r="F303" s="104">
        <f t="shared" ref="F303:F307" si="42">(E303*D303)*$D$302</f>
        <v>50</v>
      </c>
      <c r="G303" s="1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4.4" hidden="1" outlineLevel="2" x14ac:dyDescent="0.3">
      <c r="A304" s="101" t="s">
        <v>238</v>
      </c>
      <c r="B304" s="102" t="s">
        <v>357</v>
      </c>
      <c r="C304" s="101" t="s">
        <v>20</v>
      </c>
      <c r="D304" s="101">
        <v>1</v>
      </c>
      <c r="E304" s="103">
        <v>235</v>
      </c>
      <c r="F304" s="104">
        <f t="shared" si="42"/>
        <v>235</v>
      </c>
      <c r="G304" s="1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4.4" hidden="1" outlineLevel="2" x14ac:dyDescent="0.3">
      <c r="A305" s="101" t="s">
        <v>238</v>
      </c>
      <c r="B305" s="102" t="s">
        <v>358</v>
      </c>
      <c r="C305" s="101" t="s">
        <v>20</v>
      </c>
      <c r="D305" s="101">
        <v>1</v>
      </c>
      <c r="E305" s="103">
        <v>8.8000000000000007</v>
      </c>
      <c r="F305" s="104">
        <f t="shared" si="42"/>
        <v>8.8000000000000007</v>
      </c>
      <c r="G305" s="1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4.4" hidden="1" outlineLevel="2" x14ac:dyDescent="0.3">
      <c r="A306" s="101" t="s">
        <v>238</v>
      </c>
      <c r="B306" s="102" t="s">
        <v>359</v>
      </c>
      <c r="C306" s="101" t="s">
        <v>20</v>
      </c>
      <c r="D306" s="101">
        <v>1</v>
      </c>
      <c r="E306" s="103">
        <v>50</v>
      </c>
      <c r="F306" s="104">
        <f t="shared" si="42"/>
        <v>50</v>
      </c>
      <c r="G306" s="1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4.4" hidden="1" outlineLevel="2" x14ac:dyDescent="0.3">
      <c r="A307" s="101" t="s">
        <v>238</v>
      </c>
      <c r="B307" s="102" t="s">
        <v>360</v>
      </c>
      <c r="C307" s="101" t="s">
        <v>20</v>
      </c>
      <c r="D307" s="101">
        <v>1</v>
      </c>
      <c r="E307" s="103">
        <v>15</v>
      </c>
      <c r="F307" s="104">
        <f t="shared" si="42"/>
        <v>15</v>
      </c>
      <c r="G307" s="1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4.4" hidden="1" outlineLevel="2" x14ac:dyDescent="0.3">
      <c r="A308" s="105"/>
      <c r="B308" s="106"/>
      <c r="C308" s="125"/>
      <c r="D308" s="130">
        <f>F303/D302</f>
        <v>50</v>
      </c>
      <c r="E308" s="130" t="s">
        <v>238</v>
      </c>
      <c r="F308" s="130">
        <f>SUM(F304:F307)/D302</f>
        <v>308.8</v>
      </c>
      <c r="G308" s="1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4.4" hidden="1" outlineLevel="1" collapsed="1" x14ac:dyDescent="0.3">
      <c r="A309" s="112" t="str">
        <f>'1. BRIEFING'!A85</f>
        <v>13.3</v>
      </c>
      <c r="B309" s="113" t="str">
        <f>'1. BRIEFING'!B85</f>
        <v>INSTALAÇÃO DE TORNEIRA BICA ALTA</v>
      </c>
      <c r="C309" s="100" t="str">
        <f>'1. BRIEFING'!C85</f>
        <v>UN</v>
      </c>
      <c r="D309" s="127">
        <f>'1. BRIEFING'!D85</f>
        <v>1</v>
      </c>
      <c r="E309" s="99">
        <f>F309/D309</f>
        <v>150</v>
      </c>
      <c r="F309" s="99">
        <f>SUM(F311)</f>
        <v>150</v>
      </c>
      <c r="G309" s="1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4.4" hidden="1" outlineLevel="2" x14ac:dyDescent="0.3">
      <c r="A310" s="101" t="s">
        <v>240</v>
      </c>
      <c r="B310" s="102" t="s">
        <v>361</v>
      </c>
      <c r="C310" s="101" t="s">
        <v>20</v>
      </c>
      <c r="D310" s="101">
        <v>1</v>
      </c>
      <c r="E310" s="103">
        <v>25</v>
      </c>
      <c r="F310" s="104">
        <f t="shared" ref="F310:F311" si="43">(E310*D310)*$D$309</f>
        <v>25</v>
      </c>
      <c r="G310" s="1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4.4" hidden="1" outlineLevel="2" x14ac:dyDescent="0.3">
      <c r="A311" s="101" t="s">
        <v>238</v>
      </c>
      <c r="B311" s="102" t="s">
        <v>362</v>
      </c>
      <c r="C311" s="101" t="s">
        <v>20</v>
      </c>
      <c r="D311" s="101">
        <v>1</v>
      </c>
      <c r="E311" s="103">
        <v>150</v>
      </c>
      <c r="F311" s="104">
        <f t="shared" si="43"/>
        <v>150</v>
      </c>
      <c r="G311" s="1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4.4" hidden="1" outlineLevel="2" x14ac:dyDescent="0.3">
      <c r="A312" s="105"/>
      <c r="B312" s="106"/>
      <c r="C312" s="125"/>
      <c r="D312" s="130">
        <f>F310/D309</f>
        <v>25</v>
      </c>
      <c r="E312" s="130" t="s">
        <v>238</v>
      </c>
      <c r="F312" s="130">
        <f>SUM(F311)/D309</f>
        <v>150</v>
      </c>
      <c r="G312" s="1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4.4" hidden="1" outlineLevel="1" collapsed="1" x14ac:dyDescent="0.3">
      <c r="A313" s="112" t="str">
        <f>'1. BRIEFING'!A86</f>
        <v>13.4</v>
      </c>
      <c r="B313" s="113" t="str">
        <f>'1. BRIEFING'!B86</f>
        <v>INSTALAÇÃO DE PORTA ACESSÓRIOS l KIT BANHEIRO</v>
      </c>
      <c r="C313" s="100" t="str">
        <f>'1. BRIEFING'!C86</f>
        <v>UN</v>
      </c>
      <c r="D313" s="127">
        <v>1</v>
      </c>
      <c r="E313" s="99">
        <f>F313/D313</f>
        <v>150</v>
      </c>
      <c r="F313" s="99">
        <f>SUM(F315)</f>
        <v>150</v>
      </c>
      <c r="G313" s="1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4.4" hidden="1" outlineLevel="2" x14ac:dyDescent="0.3">
      <c r="A314" s="101" t="s">
        <v>240</v>
      </c>
      <c r="B314" s="102" t="s">
        <v>361</v>
      </c>
      <c r="C314" s="101" t="s">
        <v>20</v>
      </c>
      <c r="D314" s="101">
        <v>1</v>
      </c>
      <c r="E314" s="103">
        <v>25</v>
      </c>
      <c r="F314" s="104">
        <f t="shared" ref="F314:F315" si="44">(E314*D314)*$D$313</f>
        <v>25</v>
      </c>
      <c r="G314" s="1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4.4" hidden="1" outlineLevel="2" x14ac:dyDescent="0.3">
      <c r="A315" s="101" t="s">
        <v>238</v>
      </c>
      <c r="B315" s="102" t="s">
        <v>363</v>
      </c>
      <c r="C315" s="101" t="s">
        <v>20</v>
      </c>
      <c r="D315" s="101">
        <v>1</v>
      </c>
      <c r="E315" s="103">
        <v>150</v>
      </c>
      <c r="F315" s="104">
        <f t="shared" si="44"/>
        <v>150</v>
      </c>
      <c r="G315" s="1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4.4" hidden="1" outlineLevel="2" x14ac:dyDescent="0.3">
      <c r="A316" s="105"/>
      <c r="B316" s="106"/>
      <c r="C316" s="125"/>
      <c r="D316" s="130">
        <f>F314/D313</f>
        <v>25</v>
      </c>
      <c r="E316" s="130" t="s">
        <v>238</v>
      </c>
      <c r="F316" s="130">
        <f>SUM(F315)/D313</f>
        <v>150</v>
      </c>
      <c r="G316" s="1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4.4" hidden="1" outlineLevel="1" collapsed="1" x14ac:dyDescent="0.3">
      <c r="A317" s="112" t="str">
        <f>'1. BRIEFING'!A87</f>
        <v>13.5</v>
      </c>
      <c r="B317" s="113" t="str">
        <f>'1. BRIEFING'!B87</f>
        <v xml:space="preserve">INSTALAÇÃO DE DUCHA HIGIÊNCIA </v>
      </c>
      <c r="C317" s="100" t="str">
        <f>'1. BRIEFING'!C87</f>
        <v>UN</v>
      </c>
      <c r="D317" s="127">
        <f>'1. BRIEFING'!D87</f>
        <v>1</v>
      </c>
      <c r="E317" s="99">
        <f>F317/D317</f>
        <v>275</v>
      </c>
      <c r="F317" s="99">
        <f>SUM(F318:F319)</f>
        <v>275</v>
      </c>
      <c r="G317" s="1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4.4" hidden="1" outlineLevel="2" x14ac:dyDescent="0.3">
      <c r="A318" s="101" t="s">
        <v>240</v>
      </c>
      <c r="B318" s="102" t="s">
        <v>364</v>
      </c>
      <c r="C318" s="101" t="s">
        <v>20</v>
      </c>
      <c r="D318" s="101">
        <v>1</v>
      </c>
      <c r="E318" s="103">
        <v>50</v>
      </c>
      <c r="F318" s="104">
        <f t="shared" ref="F318:F319" si="45">(E318*D318)*$D$317</f>
        <v>50</v>
      </c>
      <c r="G318" s="1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4.4" hidden="1" outlineLevel="2" x14ac:dyDescent="0.3">
      <c r="A319" s="101" t="s">
        <v>238</v>
      </c>
      <c r="B319" s="102" t="s">
        <v>365</v>
      </c>
      <c r="C319" s="101" t="s">
        <v>20</v>
      </c>
      <c r="D319" s="101">
        <v>1</v>
      </c>
      <c r="E319" s="103">
        <v>225</v>
      </c>
      <c r="F319" s="104">
        <f t="shared" si="45"/>
        <v>225</v>
      </c>
      <c r="G319" s="1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4.4" hidden="1" outlineLevel="2" x14ac:dyDescent="0.3">
      <c r="A320" s="105"/>
      <c r="B320" s="106"/>
      <c r="C320" s="125"/>
      <c r="D320" s="130">
        <f>F318/D317</f>
        <v>50</v>
      </c>
      <c r="E320" s="130" t="s">
        <v>238</v>
      </c>
      <c r="F320" s="130">
        <f>SUM(F319)/D317</f>
        <v>225</v>
      </c>
      <c r="G320" s="1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4.4" hidden="1" outlineLevel="1" collapsed="1" x14ac:dyDescent="0.3">
      <c r="A321" s="112" t="str">
        <f>'1. BRIEFING'!A88</f>
        <v>13.6</v>
      </c>
      <c r="B321" s="113" t="str">
        <f>'1. BRIEFING'!B88</f>
        <v>INSTALAÇÃO DE CHUVEIRO</v>
      </c>
      <c r="C321" s="100" t="str">
        <f>'1. BRIEFING'!C88</f>
        <v>UN</v>
      </c>
      <c r="D321" s="127">
        <f>'1. BRIEFING'!D88</f>
        <v>1</v>
      </c>
      <c r="E321" s="99">
        <f>F321/D321</f>
        <v>275</v>
      </c>
      <c r="F321" s="99">
        <f>SUM(F322:F323)</f>
        <v>275</v>
      </c>
      <c r="G321" s="1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4.4" hidden="1" outlineLevel="2" x14ac:dyDescent="0.3">
      <c r="A322" s="101" t="s">
        <v>240</v>
      </c>
      <c r="B322" s="102" t="s">
        <v>366</v>
      </c>
      <c r="C322" s="101" t="s">
        <v>20</v>
      </c>
      <c r="D322" s="101">
        <v>1</v>
      </c>
      <c r="E322" s="103">
        <v>50</v>
      </c>
      <c r="F322" s="104">
        <f t="shared" ref="F322:F323" si="46">(E322*D322)*$D$321</f>
        <v>50</v>
      </c>
      <c r="G322" s="1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4.4" hidden="1" outlineLevel="2" x14ac:dyDescent="0.3">
      <c r="A323" s="101" t="s">
        <v>238</v>
      </c>
      <c r="B323" s="102" t="s">
        <v>365</v>
      </c>
      <c r="C323" s="101" t="s">
        <v>20</v>
      </c>
      <c r="D323" s="101">
        <v>1</v>
      </c>
      <c r="E323" s="103">
        <v>225</v>
      </c>
      <c r="F323" s="104">
        <f t="shared" si="46"/>
        <v>225</v>
      </c>
      <c r="G323" s="1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4.4" hidden="1" outlineLevel="2" x14ac:dyDescent="0.3">
      <c r="A324" s="105"/>
      <c r="B324" s="106"/>
      <c r="C324" s="124" t="s">
        <v>240</v>
      </c>
      <c r="D324" s="130">
        <f>F322/D321</f>
        <v>50</v>
      </c>
      <c r="E324" s="130" t="s">
        <v>238</v>
      </c>
      <c r="F324" s="130">
        <f>SUM(F323)/D321</f>
        <v>225</v>
      </c>
      <c r="G324" s="1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4.4" collapsed="1" x14ac:dyDescent="0.3">
      <c r="A325" s="115">
        <f>'1. BRIEFING'!A89</f>
        <v>14</v>
      </c>
      <c r="B325" s="116" t="str">
        <f>'1. BRIEFING'!B89</f>
        <v xml:space="preserve">SERVIÇO EM PINTURA </v>
      </c>
      <c r="C325" s="117">
        <f>'1. BRIEFING'!D89</f>
        <v>0</v>
      </c>
      <c r="D325" s="136">
        <f>'1. BRIEFING'!E89</f>
        <v>0</v>
      </c>
      <c r="E325" s="118">
        <f>'1. BRIEFING'!F89</f>
        <v>0</v>
      </c>
      <c r="F325" s="118">
        <f>'1. BRIEFING'!G89</f>
        <v>0</v>
      </c>
      <c r="G325" s="94"/>
      <c r="H325" s="94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4.4" hidden="1" outlineLevel="1" collapsed="1" x14ac:dyDescent="0.3">
      <c r="A326" s="112" t="str">
        <f>'1. BRIEFING'!A90</f>
        <v>14.1</v>
      </c>
      <c r="B326" s="113" t="str">
        <f>'1. BRIEFING'!B90</f>
        <v>APLICAÇÃO DE SELADOR ACRILICO PAREDE E FORRO</v>
      </c>
      <c r="C326" s="100" t="s">
        <v>163</v>
      </c>
      <c r="D326" s="127">
        <v>1</v>
      </c>
      <c r="E326" s="99">
        <f>F326/D326</f>
        <v>0</v>
      </c>
      <c r="F326" s="99">
        <f>SUM(F327:F328)</f>
        <v>0</v>
      </c>
      <c r="G326" s="1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4.4" hidden="1" outlineLevel="2" x14ac:dyDescent="0.3">
      <c r="A327" s="101" t="s">
        <v>240</v>
      </c>
      <c r="B327" s="102" t="s">
        <v>367</v>
      </c>
      <c r="C327" s="101" t="s">
        <v>163</v>
      </c>
      <c r="D327" s="101">
        <v>1</v>
      </c>
      <c r="E327" s="103">
        <v>0</v>
      </c>
      <c r="F327" s="104">
        <f t="shared" ref="F327:F328" si="47">(E327*D327)*$D$326</f>
        <v>0</v>
      </c>
      <c r="G327" s="1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4.4" hidden="1" outlineLevel="2" x14ac:dyDescent="0.3">
      <c r="A328" s="101" t="s">
        <v>238</v>
      </c>
      <c r="B328" s="102" t="s">
        <v>368</v>
      </c>
      <c r="C328" s="101" t="s">
        <v>29</v>
      </c>
      <c r="D328" s="101">
        <v>1</v>
      </c>
      <c r="E328" s="103">
        <v>0</v>
      </c>
      <c r="F328" s="104">
        <f t="shared" si="47"/>
        <v>0</v>
      </c>
      <c r="G328" s="1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4.4" hidden="1" outlineLevel="2" x14ac:dyDescent="0.3">
      <c r="A329" s="105"/>
      <c r="B329" s="106"/>
      <c r="C329" s="124" t="s">
        <v>240</v>
      </c>
      <c r="D329" s="130">
        <f>F327/D326</f>
        <v>0</v>
      </c>
      <c r="E329" s="130" t="s">
        <v>238</v>
      </c>
      <c r="F329" s="130">
        <f>F328/D326</f>
        <v>0</v>
      </c>
      <c r="G329" s="1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4.4" hidden="1" outlineLevel="1" collapsed="1" x14ac:dyDescent="0.3">
      <c r="A330" s="112" t="str">
        <f>'1. BRIEFING'!A91</f>
        <v>14.2</v>
      </c>
      <c r="B330" s="113" t="str">
        <f>'1. BRIEFING'!B91</f>
        <v>APLICAÇÃO E LIXAMENTO DE MASSA CORRIDA EM FORRO DE GESSO</v>
      </c>
      <c r="C330" s="100" t="s">
        <v>163</v>
      </c>
      <c r="D330" s="127">
        <v>1</v>
      </c>
      <c r="E330" s="99">
        <f>F330/D330</f>
        <v>18.25</v>
      </c>
      <c r="F330" s="99">
        <f>SUM(F331:F333)</f>
        <v>18.25</v>
      </c>
      <c r="G330" s="1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4.4" hidden="1" outlineLevel="2" x14ac:dyDescent="0.3">
      <c r="A331" s="101" t="s">
        <v>240</v>
      </c>
      <c r="B331" s="102" t="s">
        <v>369</v>
      </c>
      <c r="C331" s="101" t="s">
        <v>163</v>
      </c>
      <c r="D331" s="101">
        <v>1</v>
      </c>
      <c r="E331" s="103">
        <v>15</v>
      </c>
      <c r="F331" s="104">
        <f t="shared" ref="F331:F333" si="48">(E331*D331)*$D$330</f>
        <v>15</v>
      </c>
      <c r="G331" s="1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4.4" hidden="1" outlineLevel="2" x14ac:dyDescent="0.3">
      <c r="A332" s="101" t="s">
        <v>238</v>
      </c>
      <c r="B332" s="102" t="s">
        <v>370</v>
      </c>
      <c r="C332" s="101" t="s">
        <v>318</v>
      </c>
      <c r="D332" s="101">
        <v>0.8</v>
      </c>
      <c r="E332" s="103">
        <v>2.5</v>
      </c>
      <c r="F332" s="104">
        <f t="shared" si="48"/>
        <v>2</v>
      </c>
      <c r="G332" s="1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4.4" hidden="1" outlineLevel="2" x14ac:dyDescent="0.3">
      <c r="A333" s="101" t="s">
        <v>238</v>
      </c>
      <c r="B333" s="102" t="s">
        <v>371</v>
      </c>
      <c r="C333" s="101" t="s">
        <v>20</v>
      </c>
      <c r="D333" s="101">
        <v>0.5</v>
      </c>
      <c r="E333" s="103">
        <v>2.5</v>
      </c>
      <c r="F333" s="104">
        <f t="shared" si="48"/>
        <v>1.25</v>
      </c>
      <c r="G333" s="1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4.4" hidden="1" outlineLevel="2" x14ac:dyDescent="0.3">
      <c r="A334" s="105"/>
      <c r="B334" s="106"/>
      <c r="C334" s="124" t="s">
        <v>240</v>
      </c>
      <c r="D334" s="130">
        <f>F332/D330</f>
        <v>2</v>
      </c>
      <c r="E334" s="130" t="s">
        <v>238</v>
      </c>
      <c r="F334" s="130">
        <f>SUM(F332:F333)/D330</f>
        <v>3.25</v>
      </c>
      <c r="G334" s="1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4.4" hidden="1" outlineLevel="1" collapsed="1" x14ac:dyDescent="0.3">
      <c r="A335" s="112" t="str">
        <f>'1. BRIEFING'!A92</f>
        <v>14.3</v>
      </c>
      <c r="B335" s="113" t="str">
        <f>'1. BRIEFING'!B92</f>
        <v xml:space="preserve">APLICAÇÃO DE TINTA EM FORRO EM GESSO COM TINA ACRÍLLICA ACETINADO NA COR </v>
      </c>
      <c r="C335" s="100" t="s">
        <v>163</v>
      </c>
      <c r="D335" s="127">
        <v>1</v>
      </c>
      <c r="E335" s="99">
        <f>F335/D335</f>
        <v>23.5</v>
      </c>
      <c r="F335" s="99">
        <f>SUM(F336:F337)</f>
        <v>23.5</v>
      </c>
      <c r="G335" s="1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4.4" hidden="1" outlineLevel="2" x14ac:dyDescent="0.3">
      <c r="A336" s="101" t="s">
        <v>240</v>
      </c>
      <c r="B336" s="102" t="s">
        <v>372</v>
      </c>
      <c r="C336" s="101" t="s">
        <v>163</v>
      </c>
      <c r="D336" s="101">
        <v>1</v>
      </c>
      <c r="E336" s="103">
        <v>10</v>
      </c>
      <c r="F336" s="104">
        <f t="shared" ref="F336:F337" si="49">(E336*D336)*$D$344</f>
        <v>10</v>
      </c>
      <c r="G336" s="1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4.4" hidden="1" outlineLevel="2" x14ac:dyDescent="0.3">
      <c r="A337" s="101" t="s">
        <v>238</v>
      </c>
      <c r="B337" s="102" t="s">
        <v>373</v>
      </c>
      <c r="C337" s="101" t="s">
        <v>374</v>
      </c>
      <c r="D337" s="101">
        <v>0.9</v>
      </c>
      <c r="E337" s="103">
        <v>15</v>
      </c>
      <c r="F337" s="104">
        <f t="shared" si="49"/>
        <v>13.5</v>
      </c>
      <c r="G337" s="114">
        <f>F337/D335</f>
        <v>13.5</v>
      </c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4.4" hidden="1" outlineLevel="2" x14ac:dyDescent="0.3">
      <c r="A338" s="105"/>
      <c r="B338" s="106"/>
      <c r="C338" s="124" t="s">
        <v>240</v>
      </c>
      <c r="D338" s="130">
        <f>F336/D335</f>
        <v>10</v>
      </c>
      <c r="E338" s="130" t="s">
        <v>238</v>
      </c>
      <c r="F338" s="130">
        <f>SUM(F337)/D335</f>
        <v>13.5</v>
      </c>
      <c r="G338" s="1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4.4" hidden="1" outlineLevel="1" collapsed="1" x14ac:dyDescent="0.3">
      <c r="A339" s="112" t="str">
        <f>'1. BRIEFING'!A93</f>
        <v>14.4</v>
      </c>
      <c r="B339" s="113" t="str">
        <f>'1. BRIEFING'!B93</f>
        <v xml:space="preserve">APLICAÇÃO E LIXAMENTO DE MASSA CORRIDA EM PAREDE </v>
      </c>
      <c r="C339" s="100" t="s">
        <v>163</v>
      </c>
      <c r="D339" s="127">
        <v>1</v>
      </c>
      <c r="E339" s="99">
        <f>F339/D339</f>
        <v>17</v>
      </c>
      <c r="F339" s="99">
        <f>SUM(F340:F341)</f>
        <v>17</v>
      </c>
      <c r="G339" s="1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4.4" hidden="1" outlineLevel="2" x14ac:dyDescent="0.3">
      <c r="A340" s="101" t="s">
        <v>240</v>
      </c>
      <c r="B340" s="102" t="s">
        <v>369</v>
      </c>
      <c r="C340" s="101" t="s">
        <v>163</v>
      </c>
      <c r="D340" s="101">
        <v>1</v>
      </c>
      <c r="E340" s="103">
        <v>15</v>
      </c>
      <c r="F340" s="104">
        <f t="shared" ref="F340:F342" si="50">(E340*D340)*$D$330</f>
        <v>15</v>
      </c>
      <c r="G340" s="1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4.4" hidden="1" outlineLevel="2" x14ac:dyDescent="0.3">
      <c r="A341" s="101" t="s">
        <v>238</v>
      </c>
      <c r="B341" s="102" t="s">
        <v>370</v>
      </c>
      <c r="C341" s="101" t="s">
        <v>318</v>
      </c>
      <c r="D341" s="101">
        <v>0.8</v>
      </c>
      <c r="E341" s="103">
        <v>2.5</v>
      </c>
      <c r="F341" s="104">
        <f t="shared" si="50"/>
        <v>2</v>
      </c>
      <c r="G341" s="1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4.4" hidden="1" outlineLevel="2" x14ac:dyDescent="0.3">
      <c r="A342" s="101" t="s">
        <v>238</v>
      </c>
      <c r="B342" s="102" t="s">
        <v>371</v>
      </c>
      <c r="C342" s="101" t="s">
        <v>20</v>
      </c>
      <c r="D342" s="101">
        <v>0.5</v>
      </c>
      <c r="E342" s="103">
        <v>2.5</v>
      </c>
      <c r="F342" s="104">
        <f t="shared" si="50"/>
        <v>1.25</v>
      </c>
      <c r="G342" s="1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4.4" hidden="1" outlineLevel="2" x14ac:dyDescent="0.3">
      <c r="A343" s="101"/>
      <c r="B343" s="106"/>
      <c r="C343" s="124" t="s">
        <v>240</v>
      </c>
      <c r="D343" s="130">
        <f>F340/D339</f>
        <v>15</v>
      </c>
      <c r="E343" s="130" t="s">
        <v>238</v>
      </c>
      <c r="F343" s="130">
        <f>F341/D339</f>
        <v>2</v>
      </c>
      <c r="G343" s="1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4.4" hidden="1" outlineLevel="1" collapsed="1" x14ac:dyDescent="0.3">
      <c r="A344" s="112" t="str">
        <f>'1. BRIEFING'!A94</f>
        <v>14.5</v>
      </c>
      <c r="B344" s="113" t="str">
        <f>'1. BRIEFING'!B94</f>
        <v xml:space="preserve">APLICAÇÃO DE TINTA ACRÍLICA EM PAREDE , ACETINADO  COR </v>
      </c>
      <c r="C344" s="100" t="s">
        <v>163</v>
      </c>
      <c r="D344" s="127">
        <v>1</v>
      </c>
      <c r="E344" s="99">
        <f>F344/D344</f>
        <v>23.5</v>
      </c>
      <c r="F344" s="99">
        <f>SUM(F345:F346)</f>
        <v>23.5</v>
      </c>
      <c r="G344" s="1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4.4" hidden="1" outlineLevel="2" x14ac:dyDescent="0.3">
      <c r="A345" s="101" t="s">
        <v>240</v>
      </c>
      <c r="B345" s="102" t="s">
        <v>372</v>
      </c>
      <c r="C345" s="101" t="s">
        <v>163</v>
      </c>
      <c r="D345" s="101">
        <v>1</v>
      </c>
      <c r="E345" s="103">
        <v>10</v>
      </c>
      <c r="F345" s="104">
        <f t="shared" ref="F345:F346" si="51">(E345*D345)*$D$344</f>
        <v>10</v>
      </c>
      <c r="G345" s="1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4.4" hidden="1" outlineLevel="2" x14ac:dyDescent="0.3">
      <c r="A346" s="101" t="s">
        <v>238</v>
      </c>
      <c r="B346" s="102" t="s">
        <v>373</v>
      </c>
      <c r="C346" s="101" t="s">
        <v>374</v>
      </c>
      <c r="D346" s="101">
        <v>0.9</v>
      </c>
      <c r="E346" s="103">
        <v>15</v>
      </c>
      <c r="F346" s="104">
        <f t="shared" si="51"/>
        <v>13.5</v>
      </c>
      <c r="G346" s="114">
        <f>F346/D344</f>
        <v>13.5</v>
      </c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4.4" hidden="1" outlineLevel="2" x14ac:dyDescent="0.3">
      <c r="A347" s="101"/>
      <c r="B347" s="106"/>
      <c r="C347" s="124" t="s">
        <v>240</v>
      </c>
      <c r="D347" s="130">
        <f>F345/D344</f>
        <v>10</v>
      </c>
      <c r="E347" s="130" t="s">
        <v>238</v>
      </c>
      <c r="F347" s="130">
        <f>F346/D344</f>
        <v>13.5</v>
      </c>
      <c r="G347" s="1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4.4" hidden="1" outlineLevel="1" collapsed="1" x14ac:dyDescent="0.3">
      <c r="A348" s="112" t="str">
        <f>'1. BRIEFING'!A95</f>
        <v>14.6</v>
      </c>
      <c r="B348" s="113" t="str">
        <f>'1. BRIEFING'!B95</f>
        <v>APLICAÇÃO DE FUNDO, MASSA E TINTA EM PORTA DE MADEIRA, ACETINADO NA COR</v>
      </c>
      <c r="C348" s="100" t="s">
        <v>20</v>
      </c>
      <c r="D348" s="127">
        <v>1</v>
      </c>
      <c r="E348" s="99">
        <f>F348/D348</f>
        <v>144.55000000000001</v>
      </c>
      <c r="F348" s="99">
        <f>SUM(F349:F351)</f>
        <v>144.55000000000001</v>
      </c>
      <c r="G348" s="1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4.4" hidden="1" outlineLevel="2" x14ac:dyDescent="0.3">
      <c r="A349" s="101" t="s">
        <v>240</v>
      </c>
      <c r="B349" s="102" t="s">
        <v>375</v>
      </c>
      <c r="C349" s="101" t="s">
        <v>20</v>
      </c>
      <c r="D349" s="101">
        <v>1</v>
      </c>
      <c r="E349" s="103">
        <v>120</v>
      </c>
      <c r="F349" s="104">
        <f t="shared" ref="F349:F351" si="52">(E349*D349)*$D$348</f>
        <v>120</v>
      </c>
      <c r="G349" s="1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4.4" hidden="1" outlineLevel="2" x14ac:dyDescent="0.3">
      <c r="A350" s="101" t="s">
        <v>238</v>
      </c>
      <c r="B350" s="102" t="s">
        <v>376</v>
      </c>
      <c r="C350" s="101" t="s">
        <v>374</v>
      </c>
      <c r="D350" s="101">
        <v>0.05</v>
      </c>
      <c r="E350" s="103">
        <v>15</v>
      </c>
      <c r="F350" s="104">
        <f t="shared" si="52"/>
        <v>0.75</v>
      </c>
      <c r="G350" s="1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4.4" hidden="1" outlineLevel="2" x14ac:dyDescent="0.3">
      <c r="A351" s="101" t="s">
        <v>238</v>
      </c>
      <c r="B351" s="102" t="s">
        <v>377</v>
      </c>
      <c r="C351" s="101" t="s">
        <v>374</v>
      </c>
      <c r="D351" s="101">
        <v>0.7</v>
      </c>
      <c r="E351" s="103">
        <v>34</v>
      </c>
      <c r="F351" s="104">
        <f t="shared" si="52"/>
        <v>23.799999999999997</v>
      </c>
      <c r="G351" s="114">
        <f>F351/D348</f>
        <v>23.799999999999997</v>
      </c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4.4" hidden="1" outlineLevel="2" x14ac:dyDescent="0.3">
      <c r="A352" s="101"/>
      <c r="B352" s="106"/>
      <c r="C352" s="124" t="s">
        <v>240</v>
      </c>
      <c r="D352" s="130">
        <f>F349/D348</f>
        <v>120</v>
      </c>
      <c r="E352" s="130" t="s">
        <v>238</v>
      </c>
      <c r="F352" s="130">
        <f>SUM(F350:F351)/D348</f>
        <v>24.549999999999997</v>
      </c>
      <c r="G352" s="1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3.2" hidden="1" outlineLevel="1" x14ac:dyDescent="0.25">
      <c r="A353" s="2"/>
      <c r="B353" s="137"/>
      <c r="C353" s="1"/>
      <c r="D353" s="1"/>
      <c r="E353" s="1"/>
      <c r="F353" s="1"/>
      <c r="G353" s="1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6" x14ac:dyDescent="0.3">
      <c r="A354" s="266" t="s">
        <v>378</v>
      </c>
      <c r="B354" s="262"/>
      <c r="C354" s="262"/>
      <c r="D354" s="262"/>
      <c r="E354" s="262"/>
      <c r="F354" s="261"/>
      <c r="G354" s="1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4.4" collapsed="1" x14ac:dyDescent="0.3">
      <c r="A355" s="95">
        <f>'1. BRIEFING'!A320</f>
        <v>0</v>
      </c>
      <c r="B355" s="120" t="s">
        <v>379</v>
      </c>
      <c r="C355" s="97" t="s">
        <v>264</v>
      </c>
      <c r="D355" s="97">
        <v>1</v>
      </c>
      <c r="E355" s="98">
        <f>F355/D355</f>
        <v>1580.2857999999999</v>
      </c>
      <c r="F355" s="98">
        <f>SUM(F356:F362)</f>
        <v>1580.2857999999999</v>
      </c>
      <c r="G355" s="1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4.4" hidden="1" outlineLevel="2" x14ac:dyDescent="0.3">
      <c r="A356" s="101" t="s">
        <v>240</v>
      </c>
      <c r="B356" s="102" t="s">
        <v>380</v>
      </c>
      <c r="C356" s="101" t="s">
        <v>381</v>
      </c>
      <c r="D356" s="122">
        <v>11.1</v>
      </c>
      <c r="E356" s="103">
        <v>20.420000000000002</v>
      </c>
      <c r="F356" s="104">
        <f t="shared" ref="F356:F359" si="53">(E356*D356)*$D$51</f>
        <v>226.66200000000001</v>
      </c>
      <c r="G356" s="1">
        <v>11.1</v>
      </c>
      <c r="H356" s="79">
        <f>H3</f>
        <v>20.420000000000002</v>
      </c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4.4" hidden="1" outlineLevel="2" x14ac:dyDescent="0.3">
      <c r="A357" s="101" t="s">
        <v>238</v>
      </c>
      <c r="B357" s="102" t="s">
        <v>382</v>
      </c>
      <c r="C357" s="101" t="s">
        <v>318</v>
      </c>
      <c r="D357" s="122">
        <v>171.13</v>
      </c>
      <c r="E357" s="103">
        <v>1.4</v>
      </c>
      <c r="F357" s="104">
        <f t="shared" si="53"/>
        <v>239.58199999999997</v>
      </c>
      <c r="G357" s="1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4.4" hidden="1" outlineLevel="2" x14ac:dyDescent="0.3">
      <c r="A358" s="101" t="s">
        <v>238</v>
      </c>
      <c r="B358" s="102" t="s">
        <v>383</v>
      </c>
      <c r="C358" s="101" t="s">
        <v>264</v>
      </c>
      <c r="D358" s="122">
        <v>1.1399999999999999</v>
      </c>
      <c r="E358" s="103">
        <v>130</v>
      </c>
      <c r="F358" s="104">
        <f t="shared" si="53"/>
        <v>148.19999999999999</v>
      </c>
      <c r="G358" s="1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4.4" hidden="1" outlineLevel="2" x14ac:dyDescent="0.3">
      <c r="A359" s="101" t="s">
        <v>238</v>
      </c>
      <c r="B359" s="102" t="s">
        <v>384</v>
      </c>
      <c r="C359" s="101" t="s">
        <v>318</v>
      </c>
      <c r="D359" s="122">
        <v>192.53</v>
      </c>
      <c r="E359" s="103">
        <v>0.7</v>
      </c>
      <c r="F359" s="104">
        <f t="shared" si="53"/>
        <v>134.77099999999999</v>
      </c>
      <c r="G359" s="1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3.2" hidden="1" outlineLevel="1" x14ac:dyDescent="0.25">
      <c r="A360" s="2"/>
      <c r="B360" s="137"/>
      <c r="C360" s="1"/>
      <c r="D360" s="1"/>
      <c r="E360" s="1"/>
      <c r="F360" s="1"/>
      <c r="G360" s="1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4.4" hidden="1" outlineLevel="1" collapsed="1" x14ac:dyDescent="0.3">
      <c r="A361" s="95">
        <f>'1. BRIEFING'!A326</f>
        <v>0</v>
      </c>
      <c r="B361" s="120" t="s">
        <v>385</v>
      </c>
      <c r="C361" s="97" t="s">
        <v>264</v>
      </c>
      <c r="D361" s="97">
        <v>1</v>
      </c>
      <c r="E361" s="98">
        <f>F361/D361</f>
        <v>656.07140000000004</v>
      </c>
      <c r="F361" s="98">
        <f>SUM(F362:F367)</f>
        <v>656.07140000000004</v>
      </c>
      <c r="G361" s="1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4.4" hidden="1" outlineLevel="2" x14ac:dyDescent="0.3">
      <c r="A362" s="101" t="s">
        <v>240</v>
      </c>
      <c r="B362" s="102" t="s">
        <v>386</v>
      </c>
      <c r="C362" s="101" t="s">
        <v>381</v>
      </c>
      <c r="D362" s="122">
        <v>8.57</v>
      </c>
      <c r="E362" s="103">
        <v>20.420000000000002</v>
      </c>
      <c r="F362" s="104">
        <f t="shared" ref="F362:F364" si="54">(E362*D362)*$D$51</f>
        <v>174.99940000000001</v>
      </c>
      <c r="G362" s="1">
        <v>8.57</v>
      </c>
      <c r="H362" s="79">
        <f>H3</f>
        <v>20.420000000000002</v>
      </c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4.4" hidden="1" outlineLevel="2" x14ac:dyDescent="0.3">
      <c r="A363" s="101" t="s">
        <v>238</v>
      </c>
      <c r="B363" s="102" t="s">
        <v>383</v>
      </c>
      <c r="C363" s="101" t="s">
        <v>264</v>
      </c>
      <c r="D363" s="122">
        <v>1.1000000000000001</v>
      </c>
      <c r="E363" s="103">
        <v>130</v>
      </c>
      <c r="F363" s="104">
        <f t="shared" si="54"/>
        <v>143</v>
      </c>
      <c r="G363" s="1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4.4" hidden="1" outlineLevel="2" x14ac:dyDescent="0.3">
      <c r="A364" s="101" t="s">
        <v>238</v>
      </c>
      <c r="B364" s="102" t="s">
        <v>384</v>
      </c>
      <c r="C364" s="101" t="s">
        <v>318</v>
      </c>
      <c r="D364" s="122">
        <v>482.96</v>
      </c>
      <c r="E364" s="103">
        <v>0.7</v>
      </c>
      <c r="F364" s="104">
        <f t="shared" si="54"/>
        <v>338.07199999999995</v>
      </c>
      <c r="G364" s="1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3.2" hidden="1" outlineLevel="2" x14ac:dyDescent="0.25">
      <c r="A365" s="2"/>
      <c r="B365" s="137"/>
      <c r="C365" s="1"/>
      <c r="D365" s="1"/>
      <c r="E365" s="1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3.2" x14ac:dyDescent="0.25">
      <c r="A366" s="2"/>
      <c r="B366" s="137"/>
      <c r="C366" s="1"/>
      <c r="D366" s="1"/>
      <c r="E366" s="1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3.2" x14ac:dyDescent="0.25">
      <c r="A367" s="2"/>
      <c r="B367" s="137"/>
      <c r="C367" s="1"/>
      <c r="D367" s="1"/>
      <c r="E367" s="1"/>
      <c r="F367" s="1"/>
      <c r="G367" s="1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3.2" x14ac:dyDescent="0.25">
      <c r="A368" s="2"/>
      <c r="B368" s="137"/>
      <c r="C368" s="1"/>
      <c r="D368" s="1"/>
      <c r="E368" s="1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3.2" x14ac:dyDescent="0.25">
      <c r="A369" s="2"/>
      <c r="B369" s="137"/>
      <c r="C369" s="1"/>
      <c r="D369" s="1"/>
      <c r="E369" s="1"/>
      <c r="F369" s="1"/>
      <c r="G369" s="1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3.2" x14ac:dyDescent="0.25">
      <c r="A370" s="2"/>
      <c r="B370" s="137"/>
      <c r="C370" s="1"/>
      <c r="D370" s="1"/>
      <c r="E370" s="1"/>
      <c r="F370" s="1"/>
      <c r="G370" s="1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3.2" x14ac:dyDescent="0.25">
      <c r="A371" s="2"/>
      <c r="B371" s="137"/>
      <c r="C371" s="1"/>
      <c r="D371" s="1"/>
      <c r="E371" s="1"/>
      <c r="F371" s="1"/>
      <c r="G371" s="1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3.2" x14ac:dyDescent="0.25">
      <c r="A372" s="2"/>
      <c r="B372" s="137"/>
      <c r="C372" s="1"/>
      <c r="D372" s="1"/>
      <c r="E372" s="1"/>
      <c r="F372" s="1"/>
      <c r="G372" s="1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3.2" x14ac:dyDescent="0.25">
      <c r="A373" s="2"/>
      <c r="B373" s="137"/>
      <c r="C373" s="1"/>
      <c r="D373" s="1"/>
      <c r="E373" s="1"/>
      <c r="F373" s="1"/>
      <c r="G373" s="1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3.2" x14ac:dyDescent="0.25">
      <c r="A374" s="2"/>
      <c r="B374" s="137"/>
      <c r="C374" s="1"/>
      <c r="D374" s="1"/>
      <c r="E374" s="1"/>
      <c r="F374" s="1"/>
      <c r="G374" s="1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3.2" x14ac:dyDescent="0.25">
      <c r="A375" s="2"/>
      <c r="B375" s="137"/>
      <c r="C375" s="1"/>
      <c r="D375" s="1"/>
      <c r="E375" s="1"/>
      <c r="F375" s="1"/>
      <c r="G375" s="1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3.2" x14ac:dyDescent="0.25">
      <c r="A376" s="2"/>
      <c r="B376" s="137"/>
      <c r="C376" s="1"/>
      <c r="D376" s="1"/>
      <c r="E376" s="1"/>
      <c r="F376" s="1"/>
      <c r="G376" s="1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3.2" x14ac:dyDescent="0.25">
      <c r="A377" s="2"/>
      <c r="B377" s="137"/>
      <c r="C377" s="1"/>
      <c r="D377" s="1"/>
      <c r="E377" s="1"/>
      <c r="F377" s="1"/>
      <c r="G377" s="1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3.2" x14ac:dyDescent="0.25">
      <c r="A378" s="2"/>
      <c r="B378" s="137"/>
      <c r="C378" s="1"/>
      <c r="D378" s="1"/>
      <c r="E378" s="1"/>
      <c r="F378" s="1"/>
      <c r="G378" s="1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3.2" x14ac:dyDescent="0.25">
      <c r="A379" s="2"/>
      <c r="B379" s="137"/>
      <c r="C379" s="1"/>
      <c r="D379" s="1"/>
      <c r="E379" s="1"/>
      <c r="F379" s="1"/>
      <c r="G379" s="1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3.2" x14ac:dyDescent="0.25">
      <c r="A380" s="2"/>
      <c r="B380" s="137"/>
      <c r="C380" s="1"/>
      <c r="D380" s="1"/>
      <c r="E380" s="1"/>
      <c r="F380" s="1"/>
      <c r="G380" s="1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3.2" x14ac:dyDescent="0.25">
      <c r="A381" s="2"/>
      <c r="B381" s="137"/>
      <c r="C381" s="1"/>
      <c r="D381" s="1"/>
      <c r="E381" s="1"/>
      <c r="F381" s="1"/>
      <c r="G381" s="1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3.2" x14ac:dyDescent="0.25">
      <c r="A382" s="2"/>
      <c r="B382" s="137"/>
      <c r="C382" s="1"/>
      <c r="D382" s="1"/>
      <c r="E382" s="1"/>
      <c r="F382" s="1"/>
      <c r="G382" s="1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3.2" x14ac:dyDescent="0.25">
      <c r="A383" s="2"/>
      <c r="B383" s="137"/>
      <c r="C383" s="1"/>
      <c r="D383" s="1"/>
      <c r="E383" s="1"/>
      <c r="F383" s="1"/>
      <c r="G383" s="1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3.2" x14ac:dyDescent="0.25">
      <c r="A384" s="2"/>
      <c r="B384" s="137"/>
      <c r="C384" s="1"/>
      <c r="D384" s="1"/>
      <c r="E384" s="1"/>
      <c r="F384" s="1"/>
      <c r="G384" s="1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3.2" x14ac:dyDescent="0.25">
      <c r="A385" s="2"/>
      <c r="B385" s="137"/>
      <c r="C385" s="1"/>
      <c r="D385" s="1"/>
      <c r="E385" s="1"/>
      <c r="F385" s="1"/>
      <c r="G385" s="1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3.2" x14ac:dyDescent="0.25">
      <c r="A386" s="2"/>
      <c r="B386" s="137"/>
      <c r="C386" s="1"/>
      <c r="D386" s="1"/>
      <c r="E386" s="1"/>
      <c r="F386" s="1"/>
      <c r="G386" s="1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3.2" x14ac:dyDescent="0.25">
      <c r="A387" s="2"/>
      <c r="B387" s="137"/>
      <c r="C387" s="1"/>
      <c r="D387" s="1"/>
      <c r="E387" s="1"/>
      <c r="F387" s="1"/>
      <c r="G387" s="1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3.2" x14ac:dyDescent="0.25">
      <c r="A388" s="2"/>
      <c r="B388" s="137"/>
      <c r="C388" s="1"/>
      <c r="D388" s="1"/>
      <c r="E388" s="1"/>
      <c r="F388" s="1"/>
      <c r="G388" s="1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3.2" x14ac:dyDescent="0.25">
      <c r="A389" s="2"/>
      <c r="B389" s="137"/>
      <c r="C389" s="1"/>
      <c r="D389" s="1"/>
      <c r="E389" s="1"/>
      <c r="F389" s="1"/>
      <c r="G389" s="1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3.2" x14ac:dyDescent="0.25">
      <c r="A390" s="2"/>
      <c r="B390" s="137"/>
      <c r="C390" s="1"/>
      <c r="D390" s="1"/>
      <c r="E390" s="1"/>
      <c r="F390" s="1"/>
      <c r="G390" s="1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3.2" x14ac:dyDescent="0.25">
      <c r="A391" s="2"/>
      <c r="B391" s="137"/>
      <c r="C391" s="1"/>
      <c r="D391" s="1"/>
      <c r="E391" s="1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3.2" x14ac:dyDescent="0.25">
      <c r="A392" s="2"/>
      <c r="B392" s="137"/>
      <c r="C392" s="1"/>
      <c r="D392" s="1"/>
      <c r="E392" s="1"/>
      <c r="F392" s="1"/>
      <c r="G392" s="1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3.2" x14ac:dyDescent="0.25">
      <c r="A393" s="2"/>
      <c r="B393" s="137"/>
      <c r="C393" s="1"/>
      <c r="D393" s="1"/>
      <c r="E393" s="1"/>
      <c r="F393" s="1"/>
      <c r="G393" s="1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3.2" x14ac:dyDescent="0.25">
      <c r="A394" s="2"/>
      <c r="B394" s="137"/>
      <c r="C394" s="1"/>
      <c r="D394" s="1"/>
      <c r="E394" s="1"/>
      <c r="F394" s="1"/>
      <c r="G394" s="1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3.2" x14ac:dyDescent="0.25">
      <c r="A395" s="2"/>
      <c r="B395" s="137"/>
      <c r="C395" s="1"/>
      <c r="D395" s="1"/>
      <c r="E395" s="1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3.2" x14ac:dyDescent="0.25">
      <c r="A396" s="2"/>
      <c r="B396" s="137"/>
      <c r="C396" s="1"/>
      <c r="D396" s="1"/>
      <c r="E396" s="1"/>
      <c r="F396" s="1"/>
      <c r="G396" s="1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3.2" x14ac:dyDescent="0.25">
      <c r="A397" s="2"/>
      <c r="B397" s="137"/>
      <c r="C397" s="1"/>
      <c r="D397" s="1"/>
      <c r="E397" s="1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3.2" x14ac:dyDescent="0.25">
      <c r="A398" s="2"/>
      <c r="B398" s="137"/>
      <c r="C398" s="1"/>
      <c r="D398" s="1"/>
      <c r="E398" s="1"/>
      <c r="F398" s="1"/>
      <c r="G398" s="1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3.2" x14ac:dyDescent="0.25">
      <c r="A399" s="2"/>
      <c r="B399" s="137"/>
      <c r="C399" s="1"/>
      <c r="D399" s="1"/>
      <c r="E399" s="1"/>
      <c r="F399" s="1"/>
      <c r="G399" s="1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3.2" x14ac:dyDescent="0.25">
      <c r="A400" s="2"/>
      <c r="B400" s="137"/>
      <c r="C400" s="1"/>
      <c r="D400" s="1"/>
      <c r="E400" s="1"/>
      <c r="F400" s="1"/>
      <c r="G400" s="1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3.2" x14ac:dyDescent="0.25">
      <c r="A401" s="2"/>
      <c r="B401" s="137"/>
      <c r="C401" s="1"/>
      <c r="D401" s="1"/>
      <c r="E401" s="1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3.2" x14ac:dyDescent="0.25">
      <c r="A402" s="2"/>
      <c r="B402" s="137"/>
      <c r="C402" s="1"/>
      <c r="D402" s="1"/>
      <c r="E402" s="1"/>
      <c r="F402" s="1"/>
      <c r="G402" s="1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3.2" x14ac:dyDescent="0.25">
      <c r="A403" s="2"/>
      <c r="B403" s="137"/>
      <c r="C403" s="1"/>
      <c r="D403" s="1"/>
      <c r="E403" s="1"/>
      <c r="F403" s="1"/>
      <c r="G403" s="1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3.2" x14ac:dyDescent="0.25">
      <c r="A404" s="2"/>
      <c r="B404" s="137"/>
      <c r="C404" s="1"/>
      <c r="D404" s="1"/>
      <c r="E404" s="1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3.2" x14ac:dyDescent="0.25">
      <c r="A405" s="2"/>
      <c r="B405" s="137"/>
      <c r="C405" s="1"/>
      <c r="D405" s="1"/>
      <c r="E405" s="1"/>
      <c r="F405" s="1"/>
      <c r="G405" s="1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3.2" x14ac:dyDescent="0.25">
      <c r="A406" s="2"/>
      <c r="B406" s="137"/>
      <c r="C406" s="1"/>
      <c r="D406" s="1"/>
      <c r="E406" s="1"/>
      <c r="F406" s="1"/>
      <c r="G406" s="1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3.2" x14ac:dyDescent="0.25">
      <c r="A407" s="2"/>
      <c r="B407" s="137"/>
      <c r="C407" s="1"/>
      <c r="D407" s="1"/>
      <c r="E407" s="1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3.2" x14ac:dyDescent="0.25">
      <c r="A408" s="2"/>
      <c r="B408" s="137"/>
      <c r="C408" s="1"/>
      <c r="D408" s="1"/>
      <c r="E408" s="1"/>
      <c r="F408" s="1"/>
      <c r="G408" s="1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3.2" x14ac:dyDescent="0.25">
      <c r="A409" s="2"/>
      <c r="B409" s="137"/>
      <c r="C409" s="1"/>
      <c r="D409" s="1"/>
      <c r="E409" s="1"/>
      <c r="F409" s="1"/>
      <c r="G409" s="1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3.2" x14ac:dyDescent="0.25">
      <c r="A410" s="2"/>
      <c r="B410" s="137"/>
      <c r="C410" s="1"/>
      <c r="D410" s="1"/>
      <c r="E410" s="1"/>
      <c r="F410" s="1"/>
      <c r="G410" s="1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3.2" x14ac:dyDescent="0.25">
      <c r="A411" s="2"/>
      <c r="B411" s="137"/>
      <c r="C411" s="1"/>
      <c r="D411" s="1"/>
      <c r="E411" s="1"/>
      <c r="F411" s="1"/>
      <c r="G411" s="1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3.2" x14ac:dyDescent="0.25">
      <c r="A412" s="2"/>
      <c r="B412" s="137"/>
      <c r="C412" s="1"/>
      <c r="D412" s="1"/>
      <c r="E412" s="1"/>
      <c r="F412" s="1"/>
      <c r="G412" s="1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3.2" x14ac:dyDescent="0.25">
      <c r="A413" s="2"/>
      <c r="B413" s="137"/>
      <c r="C413" s="1"/>
      <c r="D413" s="1"/>
      <c r="E413" s="1"/>
      <c r="F413" s="1"/>
      <c r="G413" s="1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3.2" x14ac:dyDescent="0.25">
      <c r="A414" s="2"/>
      <c r="B414" s="137"/>
      <c r="C414" s="1"/>
      <c r="D414" s="1"/>
      <c r="E414" s="1"/>
      <c r="F414" s="1"/>
      <c r="G414" s="1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3.2" x14ac:dyDescent="0.25">
      <c r="A415" s="2"/>
      <c r="B415" s="137"/>
      <c r="C415" s="1"/>
      <c r="D415" s="1"/>
      <c r="E415" s="1"/>
      <c r="F415" s="1"/>
      <c r="G415" s="1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3.2" x14ac:dyDescent="0.25">
      <c r="A416" s="2"/>
      <c r="B416" s="137"/>
      <c r="C416" s="1"/>
      <c r="D416" s="1"/>
      <c r="E416" s="1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3.2" x14ac:dyDescent="0.25">
      <c r="A417" s="2"/>
      <c r="B417" s="137"/>
      <c r="C417" s="1"/>
      <c r="D417" s="1"/>
      <c r="E417" s="1"/>
      <c r="F417" s="1"/>
      <c r="G417" s="1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3.2" x14ac:dyDescent="0.25">
      <c r="A418" s="2"/>
      <c r="B418" s="137"/>
      <c r="C418" s="1"/>
      <c r="D418" s="1"/>
      <c r="E418" s="1"/>
      <c r="F418" s="1"/>
      <c r="G418" s="1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3.2" x14ac:dyDescent="0.25">
      <c r="A419" s="2"/>
      <c r="B419" s="137"/>
      <c r="C419" s="1"/>
      <c r="D419" s="1"/>
      <c r="E419" s="1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3.2" x14ac:dyDescent="0.25">
      <c r="A420" s="2"/>
      <c r="B420" s="137"/>
      <c r="C420" s="1"/>
      <c r="D420" s="1"/>
      <c r="E420" s="1"/>
      <c r="F420" s="1"/>
      <c r="G420" s="1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3.2" x14ac:dyDescent="0.25">
      <c r="A421" s="2"/>
      <c r="B421" s="137"/>
      <c r="C421" s="1"/>
      <c r="D421" s="1"/>
      <c r="E421" s="1"/>
      <c r="F421" s="1"/>
      <c r="G421" s="1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3.2" x14ac:dyDescent="0.25">
      <c r="A422" s="2"/>
      <c r="B422" s="137"/>
      <c r="C422" s="1"/>
      <c r="D422" s="1"/>
      <c r="E422" s="1"/>
      <c r="F422" s="1"/>
      <c r="G422" s="1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3.2" x14ac:dyDescent="0.25">
      <c r="A423" s="2"/>
      <c r="B423" s="137"/>
      <c r="C423" s="1"/>
      <c r="D423" s="1"/>
      <c r="E423" s="1"/>
      <c r="F423" s="1"/>
      <c r="G423" s="1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3.2" x14ac:dyDescent="0.25">
      <c r="A424" s="2"/>
      <c r="B424" s="137"/>
      <c r="C424" s="1"/>
      <c r="D424" s="1"/>
      <c r="E424" s="1"/>
      <c r="F424" s="1"/>
      <c r="G424" s="1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3.2" x14ac:dyDescent="0.25">
      <c r="A425" s="2"/>
      <c r="B425" s="137"/>
      <c r="C425" s="1"/>
      <c r="D425" s="1"/>
      <c r="E425" s="1"/>
      <c r="F425" s="1"/>
      <c r="G425" s="1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3.2" x14ac:dyDescent="0.25">
      <c r="A426" s="2"/>
      <c r="B426" s="137"/>
      <c r="C426" s="1"/>
      <c r="D426" s="1"/>
      <c r="E426" s="1"/>
      <c r="F426" s="1"/>
      <c r="G426" s="1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3.2" x14ac:dyDescent="0.25">
      <c r="A427" s="2"/>
      <c r="B427" s="137"/>
      <c r="C427" s="1"/>
      <c r="D427" s="1"/>
      <c r="E427" s="1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3.2" x14ac:dyDescent="0.25">
      <c r="A428" s="2"/>
      <c r="B428" s="137"/>
      <c r="C428" s="1"/>
      <c r="D428" s="1"/>
      <c r="E428" s="1"/>
      <c r="F428" s="1"/>
      <c r="G428" s="1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3.2" x14ac:dyDescent="0.25">
      <c r="A429" s="2"/>
      <c r="B429" s="137"/>
      <c r="C429" s="1"/>
      <c r="D429" s="1"/>
      <c r="E429" s="1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3.2" x14ac:dyDescent="0.25">
      <c r="A430" s="2"/>
      <c r="B430" s="137"/>
      <c r="C430" s="1"/>
      <c r="D430" s="1"/>
      <c r="E430" s="1"/>
      <c r="F430" s="1"/>
      <c r="G430" s="1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3.2" x14ac:dyDescent="0.25">
      <c r="A431" s="2"/>
      <c r="B431" s="137"/>
      <c r="C431" s="1"/>
      <c r="D431" s="1"/>
      <c r="E431" s="1"/>
      <c r="F431" s="1"/>
      <c r="G431" s="1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3.2" x14ac:dyDescent="0.25">
      <c r="A432" s="2"/>
      <c r="B432" s="137"/>
      <c r="C432" s="1"/>
      <c r="D432" s="1"/>
      <c r="E432" s="1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3.2" x14ac:dyDescent="0.25">
      <c r="A433" s="2"/>
      <c r="B433" s="137"/>
      <c r="C433" s="1"/>
      <c r="D433" s="1"/>
      <c r="E433" s="1"/>
      <c r="F433" s="1"/>
      <c r="G433" s="1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3.2" x14ac:dyDescent="0.25">
      <c r="A434" s="2"/>
      <c r="B434" s="137"/>
      <c r="C434" s="1"/>
      <c r="D434" s="1"/>
      <c r="E434" s="1"/>
      <c r="F434" s="1"/>
      <c r="G434" s="1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3.2" x14ac:dyDescent="0.25">
      <c r="A435" s="2"/>
      <c r="B435" s="137"/>
      <c r="C435" s="1"/>
      <c r="D435" s="1"/>
      <c r="E435" s="1"/>
      <c r="F435" s="1"/>
      <c r="G435" s="1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3.2" x14ac:dyDescent="0.25">
      <c r="A436" s="2"/>
      <c r="B436" s="137"/>
      <c r="C436" s="1"/>
      <c r="D436" s="1"/>
      <c r="E436" s="1"/>
      <c r="F436" s="1"/>
      <c r="G436" s="1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3.2" x14ac:dyDescent="0.25">
      <c r="A437" s="2"/>
      <c r="B437" s="137"/>
      <c r="C437" s="1"/>
      <c r="D437" s="1"/>
      <c r="E437" s="1"/>
      <c r="F437" s="1"/>
      <c r="G437" s="1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3.2" x14ac:dyDescent="0.25">
      <c r="A438" s="2"/>
      <c r="B438" s="137"/>
      <c r="C438" s="1"/>
      <c r="D438" s="1"/>
      <c r="E438" s="1"/>
      <c r="F438" s="1"/>
      <c r="G438" s="1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3.2" x14ac:dyDescent="0.25">
      <c r="A439" s="2"/>
      <c r="B439" s="137"/>
      <c r="C439" s="1"/>
      <c r="D439" s="1"/>
      <c r="E439" s="1"/>
      <c r="F439" s="1"/>
      <c r="G439" s="1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3.2" x14ac:dyDescent="0.25">
      <c r="A440" s="2"/>
      <c r="B440" s="137"/>
      <c r="C440" s="1"/>
      <c r="D440" s="1"/>
      <c r="E440" s="1"/>
      <c r="F440" s="1"/>
      <c r="G440" s="1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3.2" x14ac:dyDescent="0.25">
      <c r="A441" s="2"/>
      <c r="B441" s="137"/>
      <c r="C441" s="1"/>
      <c r="D441" s="1"/>
      <c r="E441" s="1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3.2" x14ac:dyDescent="0.25">
      <c r="A442" s="2"/>
      <c r="B442" s="137"/>
      <c r="C442" s="1"/>
      <c r="D442" s="1"/>
      <c r="E442" s="1"/>
      <c r="F442" s="1"/>
      <c r="G442" s="1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3.2" x14ac:dyDescent="0.25">
      <c r="A443" s="2"/>
      <c r="B443" s="137"/>
      <c r="C443" s="1"/>
      <c r="D443" s="1"/>
      <c r="E443" s="1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3.2" x14ac:dyDescent="0.25">
      <c r="A444" s="2"/>
      <c r="B444" s="137"/>
      <c r="C444" s="1"/>
      <c r="D444" s="1"/>
      <c r="E444" s="1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3.2" x14ac:dyDescent="0.25">
      <c r="A445" s="2"/>
      <c r="B445" s="137"/>
      <c r="C445" s="1"/>
      <c r="D445" s="1"/>
      <c r="E445" s="1"/>
      <c r="F445" s="1"/>
      <c r="G445" s="1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3.2" x14ac:dyDescent="0.25">
      <c r="A446" s="2"/>
      <c r="B446" s="137"/>
      <c r="C446" s="1"/>
      <c r="D446" s="1"/>
      <c r="E446" s="1"/>
      <c r="F446" s="1"/>
      <c r="G446" s="1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3.2" x14ac:dyDescent="0.25">
      <c r="A447" s="2"/>
      <c r="B447" s="137"/>
      <c r="C447" s="1"/>
      <c r="D447" s="1"/>
      <c r="E447" s="1"/>
      <c r="F447" s="1"/>
      <c r="G447" s="1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3.2" x14ac:dyDescent="0.25">
      <c r="A448" s="2"/>
      <c r="B448" s="137"/>
      <c r="C448" s="1"/>
      <c r="D448" s="1"/>
      <c r="E448" s="1"/>
      <c r="F448" s="1"/>
      <c r="G448" s="1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3.2" x14ac:dyDescent="0.25">
      <c r="A449" s="2"/>
      <c r="B449" s="137"/>
      <c r="C449" s="1"/>
      <c r="D449" s="1"/>
      <c r="E449" s="1"/>
      <c r="F449" s="1"/>
      <c r="G449" s="1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3.2" x14ac:dyDescent="0.25">
      <c r="A450" s="2"/>
      <c r="B450" s="137"/>
      <c r="C450" s="1"/>
      <c r="D450" s="1"/>
      <c r="E450" s="1"/>
      <c r="F450" s="1"/>
      <c r="G450" s="1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3.2" x14ac:dyDescent="0.25">
      <c r="A451" s="2"/>
      <c r="B451" s="137"/>
      <c r="C451" s="1"/>
      <c r="D451" s="1"/>
      <c r="E451" s="1"/>
      <c r="F451" s="1"/>
      <c r="G451" s="1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3.2" x14ac:dyDescent="0.25">
      <c r="A452" s="2"/>
      <c r="B452" s="137"/>
      <c r="C452" s="1"/>
      <c r="D452" s="1"/>
      <c r="E452" s="1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3.2" x14ac:dyDescent="0.25">
      <c r="A453" s="2"/>
      <c r="B453" s="137"/>
      <c r="C453" s="1"/>
      <c r="D453" s="1"/>
      <c r="E453" s="1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3.2" x14ac:dyDescent="0.25">
      <c r="A454" s="2"/>
      <c r="B454" s="137"/>
      <c r="C454" s="1"/>
      <c r="D454" s="1"/>
      <c r="E454" s="1"/>
      <c r="F454" s="1"/>
      <c r="G454" s="1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3.2" x14ac:dyDescent="0.25">
      <c r="A455" s="2"/>
      <c r="B455" s="137"/>
      <c r="C455" s="1"/>
      <c r="D455" s="1"/>
      <c r="E455" s="1"/>
      <c r="F455" s="1"/>
      <c r="G455" s="1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3.2" x14ac:dyDescent="0.25">
      <c r="A456" s="2"/>
      <c r="B456" s="137"/>
      <c r="C456" s="1"/>
      <c r="D456" s="1"/>
      <c r="E456" s="1"/>
      <c r="F456" s="1"/>
      <c r="G456" s="1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3.2" x14ac:dyDescent="0.25">
      <c r="A457" s="2"/>
      <c r="B457" s="137"/>
      <c r="C457" s="1"/>
      <c r="D457" s="1"/>
      <c r="E457" s="1"/>
      <c r="F457" s="1"/>
      <c r="G457" s="1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3.2" x14ac:dyDescent="0.25">
      <c r="A458" s="2"/>
      <c r="B458" s="137"/>
      <c r="C458" s="1"/>
      <c r="D458" s="1"/>
      <c r="E458" s="1"/>
      <c r="F458" s="1"/>
      <c r="G458" s="1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3.2" x14ac:dyDescent="0.25">
      <c r="A459" s="2"/>
      <c r="B459" s="137"/>
      <c r="C459" s="1"/>
      <c r="D459" s="1"/>
      <c r="E459" s="1"/>
      <c r="F459" s="1"/>
      <c r="G459" s="1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3.2" x14ac:dyDescent="0.25">
      <c r="A460" s="2"/>
      <c r="B460" s="137"/>
      <c r="C460" s="1"/>
      <c r="D460" s="1"/>
      <c r="E460" s="1"/>
      <c r="F460" s="1"/>
      <c r="G460" s="1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3.2" x14ac:dyDescent="0.25">
      <c r="A461" s="2"/>
      <c r="B461" s="137"/>
      <c r="C461" s="1"/>
      <c r="D461" s="1"/>
      <c r="E461" s="1"/>
      <c r="F461" s="1"/>
      <c r="G461" s="1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3.2" x14ac:dyDescent="0.25">
      <c r="A462" s="2"/>
      <c r="B462" s="137"/>
      <c r="C462" s="1"/>
      <c r="D462" s="1"/>
      <c r="E462" s="1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3.2" x14ac:dyDescent="0.25">
      <c r="A463" s="2"/>
      <c r="B463" s="137"/>
      <c r="C463" s="1"/>
      <c r="D463" s="1"/>
      <c r="E463" s="1"/>
      <c r="F463" s="1"/>
      <c r="G463" s="1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3.2" x14ac:dyDescent="0.25">
      <c r="A464" s="2"/>
      <c r="B464" s="137"/>
      <c r="C464" s="1"/>
      <c r="D464" s="1"/>
      <c r="E464" s="1"/>
      <c r="F464" s="1"/>
      <c r="G464" s="1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3.2" x14ac:dyDescent="0.25">
      <c r="A465" s="2"/>
      <c r="B465" s="137"/>
      <c r="C465" s="1"/>
      <c r="D465" s="1"/>
      <c r="E465" s="1"/>
      <c r="F465" s="1"/>
      <c r="G465" s="1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3.2" x14ac:dyDescent="0.25">
      <c r="A466" s="2"/>
      <c r="B466" s="137"/>
      <c r="C466" s="1"/>
      <c r="D466" s="1"/>
      <c r="E466" s="1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3.2" x14ac:dyDescent="0.25">
      <c r="A467" s="2"/>
      <c r="B467" s="137"/>
      <c r="C467" s="1"/>
      <c r="D467" s="1"/>
      <c r="E467" s="1"/>
      <c r="F467" s="1"/>
      <c r="G467" s="1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3.2" x14ac:dyDescent="0.25">
      <c r="A468" s="2"/>
      <c r="B468" s="137"/>
      <c r="C468" s="1"/>
      <c r="D468" s="1"/>
      <c r="E468" s="1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3.2" x14ac:dyDescent="0.25">
      <c r="A469" s="2"/>
      <c r="B469" s="137"/>
      <c r="C469" s="1"/>
      <c r="D469" s="1"/>
      <c r="E469" s="1"/>
      <c r="F469" s="1"/>
      <c r="G469" s="1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3.2" x14ac:dyDescent="0.25">
      <c r="A470" s="2"/>
      <c r="B470" s="137"/>
      <c r="C470" s="1"/>
      <c r="D470" s="1"/>
      <c r="E470" s="1"/>
      <c r="F470" s="1"/>
      <c r="G470" s="1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3.2" x14ac:dyDescent="0.25">
      <c r="A471" s="2"/>
      <c r="B471" s="137"/>
      <c r="C471" s="1"/>
      <c r="D471" s="1"/>
      <c r="E471" s="1"/>
      <c r="F471" s="1"/>
      <c r="G471" s="1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3.2" x14ac:dyDescent="0.25">
      <c r="A472" s="2"/>
      <c r="B472" s="137"/>
      <c r="C472" s="1"/>
      <c r="D472" s="1"/>
      <c r="E472" s="1"/>
      <c r="F472" s="1"/>
      <c r="G472" s="1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3.2" x14ac:dyDescent="0.25">
      <c r="A473" s="2"/>
      <c r="B473" s="137"/>
      <c r="C473" s="1"/>
      <c r="D473" s="1"/>
      <c r="E473" s="1"/>
      <c r="F473" s="1"/>
      <c r="G473" s="1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3.2" x14ac:dyDescent="0.25">
      <c r="A474" s="2"/>
      <c r="B474" s="137"/>
      <c r="C474" s="1"/>
      <c r="D474" s="1"/>
      <c r="E474" s="1"/>
      <c r="F474" s="1"/>
      <c r="G474" s="1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3.2" x14ac:dyDescent="0.25">
      <c r="A475" s="2"/>
      <c r="B475" s="137"/>
      <c r="C475" s="1"/>
      <c r="D475" s="1"/>
      <c r="E475" s="1"/>
      <c r="F475" s="1"/>
      <c r="G475" s="1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3.2" x14ac:dyDescent="0.25">
      <c r="A476" s="2"/>
      <c r="B476" s="137"/>
      <c r="C476" s="1"/>
      <c r="D476" s="1"/>
      <c r="E476" s="1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3.2" x14ac:dyDescent="0.25">
      <c r="A477" s="2"/>
      <c r="B477" s="137"/>
      <c r="C477" s="1"/>
      <c r="D477" s="1"/>
      <c r="E477" s="1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3.2" x14ac:dyDescent="0.25">
      <c r="A478" s="2"/>
      <c r="B478" s="137"/>
      <c r="C478" s="1"/>
      <c r="D478" s="1"/>
      <c r="E478" s="1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3.2" x14ac:dyDescent="0.25">
      <c r="A479" s="2"/>
      <c r="B479" s="137"/>
      <c r="C479" s="1"/>
      <c r="D479" s="1"/>
      <c r="E479" s="1"/>
      <c r="F479" s="1"/>
      <c r="G479" s="1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3.2" x14ac:dyDescent="0.25">
      <c r="A480" s="2"/>
      <c r="B480" s="137"/>
      <c r="C480" s="1"/>
      <c r="D480" s="1"/>
      <c r="E480" s="1"/>
      <c r="F480" s="1"/>
      <c r="G480" s="1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3.2" x14ac:dyDescent="0.25">
      <c r="A481" s="2"/>
      <c r="B481" s="137"/>
      <c r="C481" s="1"/>
      <c r="D481" s="1"/>
      <c r="E481" s="1"/>
      <c r="F481" s="1"/>
      <c r="G481" s="1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3.2" x14ac:dyDescent="0.25">
      <c r="A482" s="2"/>
      <c r="B482" s="137"/>
      <c r="C482" s="1"/>
      <c r="D482" s="1"/>
      <c r="E482" s="1"/>
      <c r="F482" s="1"/>
      <c r="G482" s="1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3.2" x14ac:dyDescent="0.25">
      <c r="A483" s="2"/>
      <c r="B483" s="137"/>
      <c r="C483" s="1"/>
      <c r="D483" s="1"/>
      <c r="E483" s="1"/>
      <c r="F483" s="1"/>
      <c r="G483" s="1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3.2" x14ac:dyDescent="0.25">
      <c r="A484" s="2"/>
      <c r="B484" s="137"/>
      <c r="C484" s="1"/>
      <c r="D484" s="1"/>
      <c r="E484" s="1"/>
      <c r="F484" s="1"/>
      <c r="G484" s="1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3.2" x14ac:dyDescent="0.25">
      <c r="A485" s="2"/>
      <c r="B485" s="137"/>
      <c r="C485" s="1"/>
      <c r="D485" s="1"/>
      <c r="E485" s="1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3.2" x14ac:dyDescent="0.25">
      <c r="A486" s="2"/>
      <c r="B486" s="137"/>
      <c r="C486" s="1"/>
      <c r="D486" s="1"/>
      <c r="E486" s="1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3.2" x14ac:dyDescent="0.25">
      <c r="A487" s="2"/>
      <c r="B487" s="137"/>
      <c r="C487" s="1"/>
      <c r="D487" s="1"/>
      <c r="E487" s="1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3.2" x14ac:dyDescent="0.25">
      <c r="A488" s="2"/>
      <c r="B488" s="137"/>
      <c r="C488" s="1"/>
      <c r="D488" s="1"/>
      <c r="E488" s="1"/>
      <c r="F488" s="1"/>
      <c r="G488" s="1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3.2" x14ac:dyDescent="0.25">
      <c r="A489" s="2"/>
      <c r="B489" s="137"/>
      <c r="C489" s="1"/>
      <c r="D489" s="1"/>
      <c r="E489" s="1"/>
      <c r="F489" s="1"/>
      <c r="G489" s="1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3.2" x14ac:dyDescent="0.25">
      <c r="A490" s="2"/>
      <c r="B490" s="137"/>
      <c r="C490" s="1"/>
      <c r="D490" s="1"/>
      <c r="E490" s="1"/>
      <c r="F490" s="1"/>
      <c r="G490" s="1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3.2" x14ac:dyDescent="0.25">
      <c r="A491" s="2"/>
      <c r="B491" s="137"/>
      <c r="C491" s="1"/>
      <c r="D491" s="1"/>
      <c r="E491" s="1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3.2" x14ac:dyDescent="0.25">
      <c r="A492" s="2"/>
      <c r="B492" s="137"/>
      <c r="C492" s="1"/>
      <c r="D492" s="1"/>
      <c r="E492" s="1"/>
      <c r="F492" s="1"/>
      <c r="G492" s="1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3.2" x14ac:dyDescent="0.25">
      <c r="A493" s="2"/>
      <c r="B493" s="137"/>
      <c r="C493" s="1"/>
      <c r="D493" s="1"/>
      <c r="E493" s="1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3.2" x14ac:dyDescent="0.25">
      <c r="A494" s="2"/>
      <c r="B494" s="137"/>
      <c r="C494" s="1"/>
      <c r="D494" s="1"/>
      <c r="E494" s="1"/>
      <c r="F494" s="1"/>
      <c r="G494" s="1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3.2" x14ac:dyDescent="0.25">
      <c r="A495" s="2"/>
      <c r="B495" s="137"/>
      <c r="C495" s="1"/>
      <c r="D495" s="1"/>
      <c r="E495" s="1"/>
      <c r="F495" s="1"/>
      <c r="G495" s="1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3.2" x14ac:dyDescent="0.25">
      <c r="A496" s="2"/>
      <c r="B496" s="137"/>
      <c r="C496" s="1"/>
      <c r="D496" s="1"/>
      <c r="E496" s="1"/>
      <c r="F496" s="1"/>
      <c r="G496" s="1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3.2" x14ac:dyDescent="0.25">
      <c r="A497" s="2"/>
      <c r="B497" s="137"/>
      <c r="C497" s="1"/>
      <c r="D497" s="1"/>
      <c r="E497" s="1"/>
      <c r="F497" s="1"/>
      <c r="G497" s="1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3.2" x14ac:dyDescent="0.25">
      <c r="A498" s="2"/>
      <c r="B498" s="137"/>
      <c r="C498" s="1"/>
      <c r="D498" s="1"/>
      <c r="E498" s="1"/>
      <c r="F498" s="1"/>
      <c r="G498" s="1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3.2" x14ac:dyDescent="0.25">
      <c r="A499" s="2"/>
      <c r="B499" s="137"/>
      <c r="C499" s="1"/>
      <c r="D499" s="1"/>
      <c r="E499" s="1"/>
      <c r="F499" s="1"/>
      <c r="G499" s="1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3.2" x14ac:dyDescent="0.25">
      <c r="A500" s="2"/>
      <c r="B500" s="137"/>
      <c r="C500" s="1"/>
      <c r="D500" s="1"/>
      <c r="E500" s="1"/>
      <c r="F500" s="1"/>
      <c r="G500" s="1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3.2" x14ac:dyDescent="0.25">
      <c r="A501" s="2"/>
      <c r="B501" s="137"/>
      <c r="C501" s="1"/>
      <c r="D501" s="1"/>
      <c r="E501" s="1"/>
      <c r="F501" s="1"/>
      <c r="G501" s="1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3.2" x14ac:dyDescent="0.25">
      <c r="A502" s="2"/>
      <c r="B502" s="137"/>
      <c r="C502" s="1"/>
      <c r="D502" s="1"/>
      <c r="E502" s="1"/>
      <c r="F502" s="1"/>
      <c r="G502" s="1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3.2" x14ac:dyDescent="0.25">
      <c r="A503" s="2"/>
      <c r="B503" s="137"/>
      <c r="C503" s="1"/>
      <c r="D503" s="1"/>
      <c r="E503" s="1"/>
      <c r="F503" s="1"/>
      <c r="G503" s="1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3.2" x14ac:dyDescent="0.25">
      <c r="A504" s="2"/>
      <c r="B504" s="137"/>
      <c r="C504" s="1"/>
      <c r="D504" s="1"/>
      <c r="E504" s="1"/>
      <c r="F504" s="1"/>
      <c r="G504" s="1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3.2" x14ac:dyDescent="0.25">
      <c r="A505" s="2"/>
      <c r="B505" s="137"/>
      <c r="C505" s="1"/>
      <c r="D505" s="1"/>
      <c r="E505" s="1"/>
      <c r="F505" s="1"/>
      <c r="G505" s="1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3.2" x14ac:dyDescent="0.25">
      <c r="A506" s="2"/>
      <c r="B506" s="137"/>
      <c r="C506" s="1"/>
      <c r="D506" s="1"/>
      <c r="E506" s="1"/>
      <c r="F506" s="1"/>
      <c r="G506" s="1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3.2" x14ac:dyDescent="0.25">
      <c r="A507" s="2"/>
      <c r="B507" s="137"/>
      <c r="C507" s="1"/>
      <c r="D507" s="1"/>
      <c r="E507" s="1"/>
      <c r="F507" s="1"/>
      <c r="G507" s="1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3.2" x14ac:dyDescent="0.25">
      <c r="A508" s="2"/>
      <c r="B508" s="137"/>
      <c r="C508" s="1"/>
      <c r="D508" s="1"/>
      <c r="E508" s="1"/>
      <c r="F508" s="1"/>
      <c r="G508" s="1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3.2" x14ac:dyDescent="0.25">
      <c r="A509" s="2"/>
      <c r="B509" s="137"/>
      <c r="C509" s="1"/>
      <c r="D509" s="1"/>
      <c r="E509" s="1"/>
      <c r="F509" s="1"/>
      <c r="G509" s="1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3.2" x14ac:dyDescent="0.25">
      <c r="A510" s="2"/>
      <c r="B510" s="137"/>
      <c r="C510" s="1"/>
      <c r="D510" s="1"/>
      <c r="E510" s="1"/>
      <c r="F510" s="1"/>
      <c r="G510" s="1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3.2" x14ac:dyDescent="0.25">
      <c r="A511" s="2"/>
      <c r="B511" s="137"/>
      <c r="C511" s="1"/>
      <c r="D511" s="1"/>
      <c r="E511" s="1"/>
      <c r="F511" s="1"/>
      <c r="G511" s="1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3.2" x14ac:dyDescent="0.25">
      <c r="A512" s="2"/>
      <c r="B512" s="137"/>
      <c r="C512" s="1"/>
      <c r="D512" s="1"/>
      <c r="E512" s="1"/>
      <c r="F512" s="1"/>
      <c r="G512" s="1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3.2" x14ac:dyDescent="0.25">
      <c r="A513" s="2"/>
      <c r="B513" s="137"/>
      <c r="C513" s="1"/>
      <c r="D513" s="1"/>
      <c r="E513" s="1"/>
      <c r="F513" s="1"/>
      <c r="G513" s="1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3.2" x14ac:dyDescent="0.25">
      <c r="A514" s="2"/>
      <c r="B514" s="137"/>
      <c r="C514" s="1"/>
      <c r="D514" s="1"/>
      <c r="E514" s="1"/>
      <c r="F514" s="1"/>
      <c r="G514" s="1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3.2" x14ac:dyDescent="0.25">
      <c r="A515" s="2"/>
      <c r="B515" s="137"/>
      <c r="C515" s="1"/>
      <c r="D515" s="1"/>
      <c r="E515" s="1"/>
      <c r="F515" s="1"/>
      <c r="G515" s="1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3.2" x14ac:dyDescent="0.25">
      <c r="A516" s="2"/>
      <c r="B516" s="137"/>
      <c r="C516" s="1"/>
      <c r="D516" s="1"/>
      <c r="E516" s="1"/>
      <c r="F516" s="1"/>
      <c r="G516" s="1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3.2" x14ac:dyDescent="0.25">
      <c r="A517" s="2"/>
      <c r="B517" s="137"/>
      <c r="C517" s="1"/>
      <c r="D517" s="1"/>
      <c r="E517" s="1"/>
      <c r="F517" s="1"/>
      <c r="G517" s="1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3.2" x14ac:dyDescent="0.25">
      <c r="A518" s="2"/>
      <c r="B518" s="137"/>
      <c r="C518" s="1"/>
      <c r="D518" s="1"/>
      <c r="E518" s="1"/>
      <c r="F518" s="1"/>
      <c r="G518" s="1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3.2" x14ac:dyDescent="0.25">
      <c r="A519" s="2"/>
      <c r="B519" s="137"/>
      <c r="C519" s="1"/>
      <c r="D519" s="1"/>
      <c r="E519" s="1"/>
      <c r="F519" s="1"/>
      <c r="G519" s="1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3.2" x14ac:dyDescent="0.25">
      <c r="A520" s="2"/>
      <c r="B520" s="137"/>
      <c r="C520" s="1"/>
      <c r="D520" s="1"/>
      <c r="E520" s="1"/>
      <c r="F520" s="1"/>
      <c r="G520" s="1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3.2" x14ac:dyDescent="0.25">
      <c r="A521" s="2"/>
      <c r="B521" s="137"/>
      <c r="C521" s="1"/>
      <c r="D521" s="1"/>
      <c r="E521" s="1"/>
      <c r="F521" s="1"/>
      <c r="G521" s="1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3.2" x14ac:dyDescent="0.25">
      <c r="A522" s="2"/>
      <c r="B522" s="137"/>
      <c r="C522" s="1"/>
      <c r="D522" s="1"/>
      <c r="E522" s="1"/>
      <c r="F522" s="1"/>
      <c r="G522" s="1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3.2" x14ac:dyDescent="0.25">
      <c r="A523" s="2"/>
      <c r="B523" s="137"/>
      <c r="C523" s="1"/>
      <c r="D523" s="1"/>
      <c r="E523" s="1"/>
      <c r="F523" s="1"/>
      <c r="G523" s="1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3.2" x14ac:dyDescent="0.25">
      <c r="A524" s="2"/>
      <c r="B524" s="137"/>
      <c r="C524" s="1"/>
      <c r="D524" s="1"/>
      <c r="E524" s="1"/>
      <c r="F524" s="1"/>
      <c r="G524" s="1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3.2" x14ac:dyDescent="0.25">
      <c r="A525" s="2"/>
      <c r="B525" s="137"/>
      <c r="C525" s="1"/>
      <c r="D525" s="1"/>
      <c r="E525" s="1"/>
      <c r="F525" s="1"/>
      <c r="G525" s="1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3.2" x14ac:dyDescent="0.25">
      <c r="A526" s="2"/>
      <c r="B526" s="137"/>
      <c r="C526" s="1"/>
      <c r="D526" s="1"/>
      <c r="E526" s="1"/>
      <c r="F526" s="1"/>
      <c r="G526" s="1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3.2" x14ac:dyDescent="0.25">
      <c r="A527" s="2"/>
      <c r="B527" s="137"/>
      <c r="C527" s="1"/>
      <c r="D527" s="1"/>
      <c r="E527" s="1"/>
      <c r="F527" s="1"/>
      <c r="G527" s="1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3.2" x14ac:dyDescent="0.25">
      <c r="A528" s="2"/>
      <c r="B528" s="137"/>
      <c r="C528" s="1"/>
      <c r="D528" s="1"/>
      <c r="E528" s="1"/>
      <c r="F528" s="1"/>
      <c r="G528" s="1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3.2" x14ac:dyDescent="0.25">
      <c r="A529" s="2"/>
      <c r="B529" s="137"/>
      <c r="C529" s="1"/>
      <c r="D529" s="1"/>
      <c r="E529" s="1"/>
      <c r="F529" s="1"/>
      <c r="G529" s="1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3.2" x14ac:dyDescent="0.25">
      <c r="A530" s="2"/>
      <c r="B530" s="137"/>
      <c r="C530" s="1"/>
      <c r="D530" s="1"/>
      <c r="E530" s="1"/>
      <c r="F530" s="1"/>
      <c r="G530" s="1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3.2" x14ac:dyDescent="0.25">
      <c r="A531" s="2"/>
      <c r="B531" s="137"/>
      <c r="C531" s="1"/>
      <c r="D531" s="1"/>
      <c r="E531" s="1"/>
      <c r="F531" s="1"/>
      <c r="G531" s="1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3.2" x14ac:dyDescent="0.25">
      <c r="A532" s="2"/>
      <c r="B532" s="137"/>
      <c r="C532" s="1"/>
      <c r="D532" s="1"/>
      <c r="E532" s="1"/>
      <c r="F532" s="1"/>
      <c r="G532" s="1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3.2" x14ac:dyDescent="0.25">
      <c r="A533" s="2"/>
      <c r="B533" s="137"/>
      <c r="C533" s="1"/>
      <c r="D533" s="1"/>
      <c r="E533" s="1"/>
      <c r="F533" s="1"/>
      <c r="G533" s="1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3.2" x14ac:dyDescent="0.25">
      <c r="A534" s="2"/>
      <c r="B534" s="137"/>
      <c r="C534" s="1"/>
      <c r="D534" s="1"/>
      <c r="E534" s="1"/>
      <c r="F534" s="1"/>
      <c r="G534" s="1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3.2" x14ac:dyDescent="0.25">
      <c r="A535" s="2"/>
      <c r="B535" s="137"/>
      <c r="C535" s="1"/>
      <c r="D535" s="1"/>
      <c r="E535" s="1"/>
      <c r="F535" s="1"/>
      <c r="G535" s="1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3.2" x14ac:dyDescent="0.25">
      <c r="A536" s="2"/>
      <c r="B536" s="137"/>
      <c r="C536" s="1"/>
      <c r="D536" s="1"/>
      <c r="E536" s="1"/>
      <c r="F536" s="1"/>
      <c r="G536" s="1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3.2" x14ac:dyDescent="0.25">
      <c r="A537" s="2"/>
      <c r="B537" s="137"/>
      <c r="C537" s="1"/>
      <c r="D537" s="1"/>
      <c r="E537" s="1"/>
      <c r="F537" s="1"/>
      <c r="G537" s="1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3.2" x14ac:dyDescent="0.25">
      <c r="A538" s="2"/>
      <c r="B538" s="137"/>
      <c r="C538" s="1"/>
      <c r="D538" s="1"/>
      <c r="E538" s="1"/>
      <c r="F538" s="1"/>
      <c r="G538" s="1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3.2" x14ac:dyDescent="0.25">
      <c r="A539" s="2"/>
      <c r="B539" s="137"/>
      <c r="C539" s="1"/>
      <c r="D539" s="1"/>
      <c r="E539" s="1"/>
      <c r="F539" s="1"/>
      <c r="G539" s="1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3.2" x14ac:dyDescent="0.25">
      <c r="A540" s="2"/>
      <c r="B540" s="137"/>
      <c r="C540" s="1"/>
      <c r="D540" s="1"/>
      <c r="E540" s="1"/>
      <c r="F540" s="1"/>
      <c r="G540" s="1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3.2" x14ac:dyDescent="0.25">
      <c r="A541" s="2"/>
      <c r="B541" s="137"/>
      <c r="C541" s="1"/>
      <c r="D541" s="1"/>
      <c r="E541" s="1"/>
      <c r="F541" s="1"/>
      <c r="G541" s="1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3.2" x14ac:dyDescent="0.25">
      <c r="A542" s="2"/>
      <c r="B542" s="137"/>
      <c r="C542" s="1"/>
      <c r="D542" s="1"/>
      <c r="E542" s="1"/>
      <c r="F542" s="1"/>
      <c r="G542" s="1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3.2" x14ac:dyDescent="0.25">
      <c r="A543" s="2"/>
      <c r="B543" s="137"/>
      <c r="C543" s="1"/>
      <c r="D543" s="1"/>
      <c r="E543" s="1"/>
      <c r="F543" s="1"/>
      <c r="G543" s="1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3.2" x14ac:dyDescent="0.25">
      <c r="A544" s="2"/>
      <c r="B544" s="137"/>
      <c r="C544" s="1"/>
      <c r="D544" s="1"/>
      <c r="E544" s="1"/>
      <c r="F544" s="1"/>
      <c r="G544" s="1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3.2" x14ac:dyDescent="0.25">
      <c r="A545" s="2"/>
      <c r="B545" s="137"/>
      <c r="C545" s="1"/>
      <c r="D545" s="1"/>
      <c r="E545" s="1"/>
      <c r="F545" s="1"/>
      <c r="G545" s="1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3.2" x14ac:dyDescent="0.25">
      <c r="A546" s="2"/>
      <c r="B546" s="137"/>
      <c r="C546" s="1"/>
      <c r="D546" s="1"/>
      <c r="E546" s="1"/>
      <c r="F546" s="1"/>
      <c r="G546" s="1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3.2" x14ac:dyDescent="0.25">
      <c r="A547" s="2"/>
      <c r="B547" s="137"/>
      <c r="C547" s="1"/>
      <c r="D547" s="1"/>
      <c r="E547" s="1"/>
      <c r="F547" s="1"/>
      <c r="G547" s="1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3.2" x14ac:dyDescent="0.25">
      <c r="A548" s="2"/>
      <c r="B548" s="137"/>
      <c r="C548" s="1"/>
      <c r="D548" s="1"/>
      <c r="E548" s="1"/>
      <c r="F548" s="1"/>
      <c r="G548" s="1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3.2" x14ac:dyDescent="0.25">
      <c r="A549" s="2"/>
      <c r="B549" s="137"/>
      <c r="C549" s="1"/>
      <c r="D549" s="1"/>
      <c r="E549" s="1"/>
      <c r="F549" s="1"/>
      <c r="G549" s="1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3.2" x14ac:dyDescent="0.25">
      <c r="A550" s="2"/>
      <c r="B550" s="137"/>
      <c r="C550" s="1"/>
      <c r="D550" s="1"/>
      <c r="E550" s="1"/>
      <c r="F550" s="1"/>
      <c r="G550" s="1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3.2" x14ac:dyDescent="0.25">
      <c r="A551" s="2"/>
      <c r="B551" s="137"/>
      <c r="C551" s="1"/>
      <c r="D551" s="1"/>
      <c r="E551" s="1"/>
      <c r="F551" s="1"/>
      <c r="G551" s="1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3.2" x14ac:dyDescent="0.25">
      <c r="A552" s="2"/>
      <c r="B552" s="137"/>
      <c r="C552" s="1"/>
      <c r="D552" s="1"/>
      <c r="E552" s="1"/>
      <c r="F552" s="1"/>
      <c r="G552" s="1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3.2" x14ac:dyDescent="0.25">
      <c r="A553" s="2"/>
      <c r="B553" s="137"/>
      <c r="C553" s="1"/>
      <c r="D553" s="1"/>
      <c r="E553" s="1"/>
      <c r="F553" s="1"/>
      <c r="G553" s="1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3.2" x14ac:dyDescent="0.25">
      <c r="A554" s="2"/>
      <c r="B554" s="137"/>
      <c r="C554" s="1"/>
      <c r="D554" s="1"/>
      <c r="E554" s="1"/>
      <c r="F554" s="1"/>
      <c r="G554" s="1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3.2" x14ac:dyDescent="0.25">
      <c r="A555" s="2"/>
      <c r="B555" s="137"/>
      <c r="C555" s="1"/>
      <c r="D555" s="1"/>
      <c r="E555" s="1"/>
      <c r="F555" s="1"/>
      <c r="G555" s="1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3.2" x14ac:dyDescent="0.25">
      <c r="A556" s="2"/>
      <c r="B556" s="137"/>
      <c r="C556" s="1"/>
      <c r="D556" s="1"/>
      <c r="E556" s="1"/>
      <c r="F556" s="1"/>
      <c r="G556" s="1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3.2" x14ac:dyDescent="0.25">
      <c r="A557" s="2"/>
      <c r="B557" s="137"/>
      <c r="C557" s="1"/>
      <c r="D557" s="1"/>
      <c r="E557" s="1"/>
      <c r="F557" s="1"/>
      <c r="G557" s="1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3.2" x14ac:dyDescent="0.25">
      <c r="A558" s="2"/>
      <c r="B558" s="137"/>
      <c r="C558" s="1"/>
      <c r="D558" s="1"/>
      <c r="E558" s="1"/>
      <c r="F558" s="1"/>
      <c r="G558" s="1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3.2" x14ac:dyDescent="0.25">
      <c r="A559" s="2"/>
      <c r="B559" s="137"/>
      <c r="C559" s="1"/>
      <c r="D559" s="1"/>
      <c r="E559" s="1"/>
      <c r="F559" s="1"/>
      <c r="G559" s="1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3.2" x14ac:dyDescent="0.25">
      <c r="A560" s="2"/>
      <c r="B560" s="137"/>
      <c r="C560" s="1"/>
      <c r="D560" s="1"/>
      <c r="E560" s="1"/>
      <c r="F560" s="1"/>
      <c r="G560" s="1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3.2" x14ac:dyDescent="0.25">
      <c r="A561" s="2"/>
      <c r="B561" s="137"/>
      <c r="C561" s="1"/>
      <c r="D561" s="1"/>
      <c r="E561" s="1"/>
      <c r="F561" s="1"/>
      <c r="G561" s="1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3.2" x14ac:dyDescent="0.25">
      <c r="A562" s="2"/>
      <c r="B562" s="137"/>
      <c r="C562" s="1"/>
      <c r="D562" s="1"/>
      <c r="E562" s="1"/>
      <c r="F562" s="1"/>
      <c r="G562" s="1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3.2" x14ac:dyDescent="0.25">
      <c r="A563" s="2"/>
      <c r="B563" s="137"/>
      <c r="C563" s="1"/>
      <c r="D563" s="1"/>
      <c r="E563" s="1"/>
      <c r="F563" s="1"/>
      <c r="G563" s="1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3.2" x14ac:dyDescent="0.25">
      <c r="A564" s="2"/>
      <c r="B564" s="137"/>
      <c r="C564" s="1"/>
      <c r="D564" s="1"/>
      <c r="E564" s="1"/>
      <c r="F564" s="1"/>
      <c r="G564" s="1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3.2" x14ac:dyDescent="0.25">
      <c r="A565" s="2"/>
      <c r="B565" s="137"/>
      <c r="C565" s="1"/>
      <c r="D565" s="1"/>
      <c r="E565" s="1"/>
      <c r="F565" s="1"/>
      <c r="G565" s="1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3.2" x14ac:dyDescent="0.25">
      <c r="A566" s="2"/>
      <c r="B566" s="137"/>
      <c r="C566" s="1"/>
      <c r="D566" s="1"/>
      <c r="E566" s="1"/>
      <c r="F566" s="1"/>
      <c r="G566" s="1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3.2" x14ac:dyDescent="0.25">
      <c r="A567" s="2"/>
      <c r="B567" s="137"/>
      <c r="C567" s="1"/>
      <c r="D567" s="1"/>
      <c r="E567" s="1"/>
      <c r="F567" s="1"/>
      <c r="G567" s="1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3.2" x14ac:dyDescent="0.25">
      <c r="A568" s="2"/>
      <c r="B568" s="137"/>
      <c r="C568" s="1"/>
      <c r="D568" s="1"/>
      <c r="E568" s="1"/>
      <c r="F568" s="1"/>
      <c r="G568" s="1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3.2" x14ac:dyDescent="0.25">
      <c r="A569" s="2"/>
      <c r="B569" s="137"/>
      <c r="C569" s="1"/>
      <c r="D569" s="1"/>
      <c r="E569" s="1"/>
      <c r="F569" s="1"/>
      <c r="G569" s="1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3.2" x14ac:dyDescent="0.25">
      <c r="A570" s="2"/>
      <c r="B570" s="137"/>
      <c r="C570" s="1"/>
      <c r="D570" s="1"/>
      <c r="E570" s="1"/>
      <c r="F570" s="1"/>
      <c r="G570" s="1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3.2" x14ac:dyDescent="0.25">
      <c r="A571" s="2"/>
      <c r="B571" s="137"/>
      <c r="C571" s="1"/>
      <c r="D571" s="1"/>
      <c r="E571" s="1"/>
      <c r="F571" s="1"/>
      <c r="G571" s="1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3.2" x14ac:dyDescent="0.25">
      <c r="A572" s="2"/>
      <c r="B572" s="137"/>
      <c r="C572" s="1"/>
      <c r="D572" s="1"/>
      <c r="E572" s="1"/>
      <c r="F572" s="1"/>
      <c r="G572" s="1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3.2" x14ac:dyDescent="0.25">
      <c r="A573" s="2"/>
      <c r="B573" s="137"/>
      <c r="C573" s="1"/>
      <c r="D573" s="1"/>
      <c r="E573" s="1"/>
      <c r="F573" s="1"/>
      <c r="G573" s="1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3.2" x14ac:dyDescent="0.25">
      <c r="A574" s="2"/>
      <c r="B574" s="137"/>
      <c r="C574" s="1"/>
      <c r="D574" s="1"/>
      <c r="E574" s="1"/>
      <c r="F574" s="1"/>
      <c r="G574" s="1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3.2" x14ac:dyDescent="0.25">
      <c r="A575" s="2"/>
      <c r="B575" s="137"/>
      <c r="C575" s="1"/>
      <c r="D575" s="1"/>
      <c r="E575" s="1"/>
      <c r="F575" s="1"/>
      <c r="G575" s="1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3.2" x14ac:dyDescent="0.25">
      <c r="A576" s="2"/>
      <c r="B576" s="137"/>
      <c r="C576" s="1"/>
      <c r="D576" s="1"/>
      <c r="E576" s="1"/>
      <c r="F576" s="1"/>
      <c r="G576" s="1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3.2" x14ac:dyDescent="0.25">
      <c r="A577" s="2"/>
      <c r="B577" s="137"/>
      <c r="C577" s="1"/>
      <c r="D577" s="1"/>
      <c r="E577" s="1"/>
      <c r="F577" s="1"/>
      <c r="G577" s="1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3.2" x14ac:dyDescent="0.25">
      <c r="A578" s="2"/>
      <c r="B578" s="137"/>
      <c r="C578" s="1"/>
      <c r="D578" s="1"/>
      <c r="E578" s="1"/>
      <c r="F578" s="1"/>
      <c r="G578" s="1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3.2" x14ac:dyDescent="0.25">
      <c r="A579" s="2"/>
      <c r="B579" s="137"/>
      <c r="C579" s="1"/>
      <c r="D579" s="1"/>
      <c r="E579" s="1"/>
      <c r="F579" s="1"/>
      <c r="G579" s="1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3.2" x14ac:dyDescent="0.25">
      <c r="A580" s="2"/>
      <c r="B580" s="137"/>
      <c r="C580" s="1"/>
      <c r="D580" s="1"/>
      <c r="E580" s="1"/>
      <c r="F580" s="1"/>
      <c r="G580" s="1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3.2" x14ac:dyDescent="0.25">
      <c r="A581" s="2"/>
      <c r="B581" s="137"/>
      <c r="C581" s="1"/>
      <c r="D581" s="1"/>
      <c r="E581" s="1"/>
      <c r="F581" s="1"/>
      <c r="G581" s="1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3.2" x14ac:dyDescent="0.25">
      <c r="A582" s="2"/>
      <c r="B582" s="137"/>
      <c r="C582" s="1"/>
      <c r="D582" s="1"/>
      <c r="E582" s="1"/>
      <c r="F582" s="1"/>
      <c r="G582" s="1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3.2" x14ac:dyDescent="0.25">
      <c r="A583" s="2"/>
      <c r="B583" s="137"/>
      <c r="C583" s="1"/>
      <c r="D583" s="1"/>
      <c r="E583" s="1"/>
      <c r="F583" s="1"/>
      <c r="G583" s="1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3.2" x14ac:dyDescent="0.25">
      <c r="A584" s="2"/>
      <c r="B584" s="137"/>
      <c r="C584" s="1"/>
      <c r="D584" s="1"/>
      <c r="E584" s="1"/>
      <c r="F584" s="1"/>
      <c r="G584" s="1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3.2" x14ac:dyDescent="0.25">
      <c r="A585" s="2"/>
      <c r="B585" s="137"/>
      <c r="C585" s="1"/>
      <c r="D585" s="1"/>
      <c r="E585" s="1"/>
      <c r="F585" s="1"/>
      <c r="G585" s="1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3.2" x14ac:dyDescent="0.25">
      <c r="A586" s="2"/>
      <c r="B586" s="137"/>
      <c r="C586" s="1"/>
      <c r="D586" s="1"/>
      <c r="E586" s="1"/>
      <c r="F586" s="1"/>
      <c r="G586" s="1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3.2" x14ac:dyDescent="0.25">
      <c r="A587" s="2"/>
      <c r="B587" s="137"/>
      <c r="C587" s="1"/>
      <c r="D587" s="1"/>
      <c r="E587" s="1"/>
      <c r="F587" s="1"/>
      <c r="G587" s="1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3.2" x14ac:dyDescent="0.25">
      <c r="A588" s="2"/>
      <c r="B588" s="137"/>
      <c r="C588" s="1"/>
      <c r="D588" s="1"/>
      <c r="E588" s="1"/>
      <c r="F588" s="1"/>
      <c r="G588" s="1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3.2" x14ac:dyDescent="0.25">
      <c r="A589" s="2"/>
      <c r="B589" s="137"/>
      <c r="C589" s="1"/>
      <c r="D589" s="1"/>
      <c r="E589" s="1"/>
      <c r="F589" s="1"/>
      <c r="G589" s="1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3.2" x14ac:dyDescent="0.25">
      <c r="A590" s="2"/>
      <c r="B590" s="137"/>
      <c r="C590" s="1"/>
      <c r="D590" s="1"/>
      <c r="E590" s="1"/>
      <c r="F590" s="1"/>
      <c r="G590" s="1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3.2" x14ac:dyDescent="0.25">
      <c r="A591" s="2"/>
      <c r="B591" s="137"/>
      <c r="C591" s="1"/>
      <c r="D591" s="1"/>
      <c r="E591" s="1"/>
      <c r="F591" s="1"/>
      <c r="G591" s="1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3.2" x14ac:dyDescent="0.25">
      <c r="A592" s="2"/>
      <c r="B592" s="137"/>
      <c r="C592" s="1"/>
      <c r="D592" s="1"/>
      <c r="E592" s="1"/>
      <c r="F592" s="1"/>
      <c r="G592" s="1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3.2" x14ac:dyDescent="0.25">
      <c r="A593" s="2"/>
      <c r="B593" s="137"/>
      <c r="C593" s="1"/>
      <c r="D593" s="1"/>
      <c r="E593" s="1"/>
      <c r="F593" s="1"/>
      <c r="G593" s="1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3.2" x14ac:dyDescent="0.25">
      <c r="A594" s="2"/>
      <c r="B594" s="137"/>
      <c r="C594" s="1"/>
      <c r="D594" s="1"/>
      <c r="E594" s="1"/>
      <c r="F594" s="1"/>
      <c r="G594" s="1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3.2" x14ac:dyDescent="0.25">
      <c r="A595" s="2"/>
      <c r="B595" s="137"/>
      <c r="C595" s="1"/>
      <c r="D595" s="1"/>
      <c r="E595" s="1"/>
      <c r="F595" s="1"/>
      <c r="G595" s="1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3.2" x14ac:dyDescent="0.25">
      <c r="A596" s="2"/>
      <c r="B596" s="137"/>
      <c r="C596" s="1"/>
      <c r="D596" s="1"/>
      <c r="E596" s="1"/>
      <c r="F596" s="1"/>
      <c r="G596" s="1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3.2" x14ac:dyDescent="0.25">
      <c r="A597" s="2"/>
      <c r="B597" s="137"/>
      <c r="C597" s="1"/>
      <c r="D597" s="1"/>
      <c r="E597" s="1"/>
      <c r="F597" s="1"/>
      <c r="G597" s="1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3.2" x14ac:dyDescent="0.25">
      <c r="A598" s="2"/>
      <c r="B598" s="137"/>
      <c r="C598" s="1"/>
      <c r="D598" s="1"/>
      <c r="E598" s="1"/>
      <c r="F598" s="1"/>
      <c r="G598" s="1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3.2" x14ac:dyDescent="0.25">
      <c r="A599" s="2"/>
      <c r="B599" s="137"/>
      <c r="C599" s="1"/>
      <c r="D599" s="1"/>
      <c r="E599" s="1"/>
      <c r="F599" s="1"/>
      <c r="G599" s="1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3.2" x14ac:dyDescent="0.25">
      <c r="A600" s="2"/>
      <c r="B600" s="137"/>
      <c r="C600" s="1"/>
      <c r="D600" s="1"/>
      <c r="E600" s="1"/>
      <c r="F600" s="1"/>
      <c r="G600" s="1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3.2" x14ac:dyDescent="0.25">
      <c r="A601" s="2"/>
      <c r="B601" s="137"/>
      <c r="C601" s="1"/>
      <c r="D601" s="1"/>
      <c r="E601" s="1"/>
      <c r="F601" s="1"/>
      <c r="G601" s="1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3.2" x14ac:dyDescent="0.25">
      <c r="A602" s="2"/>
      <c r="B602" s="137"/>
      <c r="C602" s="1"/>
      <c r="D602" s="1"/>
      <c r="E602" s="1"/>
      <c r="F602" s="1"/>
      <c r="G602" s="1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3.2" x14ac:dyDescent="0.25">
      <c r="A603" s="2"/>
      <c r="B603" s="137"/>
      <c r="C603" s="1"/>
      <c r="D603" s="1"/>
      <c r="E603" s="1"/>
      <c r="F603" s="1"/>
      <c r="G603" s="1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3.2" x14ac:dyDescent="0.25">
      <c r="A604" s="2"/>
      <c r="B604" s="137"/>
      <c r="C604" s="1"/>
      <c r="D604" s="1"/>
      <c r="E604" s="1"/>
      <c r="F604" s="1"/>
      <c r="G604" s="1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3.2" x14ac:dyDescent="0.25">
      <c r="A605" s="2"/>
      <c r="B605" s="137"/>
      <c r="C605" s="1"/>
      <c r="D605" s="1"/>
      <c r="E605" s="1"/>
      <c r="F605" s="1"/>
      <c r="G605" s="1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3.2" x14ac:dyDescent="0.25">
      <c r="A606" s="2"/>
      <c r="B606" s="137"/>
      <c r="C606" s="1"/>
      <c r="D606" s="1"/>
      <c r="E606" s="1"/>
      <c r="F606" s="1"/>
      <c r="G606" s="1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3.2" x14ac:dyDescent="0.25">
      <c r="A607" s="2"/>
      <c r="B607" s="137"/>
      <c r="C607" s="1"/>
      <c r="D607" s="1"/>
      <c r="E607" s="1"/>
      <c r="F607" s="1"/>
      <c r="G607" s="1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3.2" x14ac:dyDescent="0.25">
      <c r="A608" s="2"/>
      <c r="B608" s="137"/>
      <c r="C608" s="1"/>
      <c r="D608" s="1"/>
      <c r="E608" s="1"/>
      <c r="F608" s="1"/>
      <c r="G608" s="1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3.2" x14ac:dyDescent="0.25">
      <c r="A609" s="2"/>
      <c r="B609" s="137"/>
      <c r="C609" s="1"/>
      <c r="D609" s="1"/>
      <c r="E609" s="1"/>
      <c r="F609" s="1"/>
      <c r="G609" s="1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3.2" x14ac:dyDescent="0.25">
      <c r="A610" s="2"/>
      <c r="B610" s="137"/>
      <c r="C610" s="1"/>
      <c r="D610" s="1"/>
      <c r="E610" s="1"/>
      <c r="F610" s="1"/>
      <c r="G610" s="1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3.2" x14ac:dyDescent="0.25">
      <c r="A611" s="2"/>
      <c r="B611" s="137"/>
      <c r="C611" s="1"/>
      <c r="D611" s="1"/>
      <c r="E611" s="1"/>
      <c r="F611" s="1"/>
      <c r="G611" s="1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3.2" x14ac:dyDescent="0.25">
      <c r="A612" s="2"/>
      <c r="B612" s="137"/>
      <c r="C612" s="1"/>
      <c r="D612" s="1"/>
      <c r="E612" s="1"/>
      <c r="F612" s="1"/>
      <c r="G612" s="1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3.2" x14ac:dyDescent="0.25">
      <c r="A613" s="2"/>
      <c r="B613" s="137"/>
      <c r="C613" s="1"/>
      <c r="D613" s="1"/>
      <c r="E613" s="1"/>
      <c r="F613" s="1"/>
      <c r="G613" s="1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3.2" x14ac:dyDescent="0.25">
      <c r="A614" s="2"/>
      <c r="B614" s="137"/>
      <c r="C614" s="1"/>
      <c r="D614" s="1"/>
      <c r="E614" s="1"/>
      <c r="F614" s="1"/>
      <c r="G614" s="1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3.2" x14ac:dyDescent="0.25">
      <c r="A615" s="2"/>
      <c r="B615" s="137"/>
      <c r="C615" s="1"/>
      <c r="D615" s="1"/>
      <c r="E615" s="1"/>
      <c r="F615" s="1"/>
      <c r="G615" s="1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3.2" x14ac:dyDescent="0.25">
      <c r="A616" s="2"/>
      <c r="B616" s="137"/>
      <c r="C616" s="1"/>
      <c r="D616" s="1"/>
      <c r="E616" s="1"/>
      <c r="F616" s="1"/>
      <c r="G616" s="1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3.2" x14ac:dyDescent="0.25">
      <c r="A617" s="2"/>
      <c r="B617" s="137"/>
      <c r="C617" s="1"/>
      <c r="D617" s="1"/>
      <c r="E617" s="1"/>
      <c r="F617" s="1"/>
      <c r="G617" s="1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3.2" x14ac:dyDescent="0.25">
      <c r="A618" s="2"/>
      <c r="B618" s="137"/>
      <c r="C618" s="1"/>
      <c r="D618" s="1"/>
      <c r="E618" s="1"/>
      <c r="F618" s="1"/>
      <c r="G618" s="1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3.2" x14ac:dyDescent="0.25">
      <c r="A619" s="2"/>
      <c r="B619" s="137"/>
      <c r="C619" s="1"/>
      <c r="D619" s="1"/>
      <c r="E619" s="1"/>
      <c r="F619" s="1"/>
      <c r="G619" s="1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3.2" x14ac:dyDescent="0.25">
      <c r="A620" s="2"/>
      <c r="B620" s="137"/>
      <c r="C620" s="1"/>
      <c r="D620" s="1"/>
      <c r="E620" s="1"/>
      <c r="F620" s="1"/>
      <c r="G620" s="1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3.2" x14ac:dyDescent="0.25">
      <c r="A621" s="2"/>
      <c r="B621" s="137"/>
      <c r="C621" s="1"/>
      <c r="D621" s="1"/>
      <c r="E621" s="1"/>
      <c r="F621" s="1"/>
      <c r="G621" s="1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3.2" x14ac:dyDescent="0.25">
      <c r="A622" s="2"/>
      <c r="B622" s="137"/>
      <c r="C622" s="1"/>
      <c r="D622" s="1"/>
      <c r="E622" s="1"/>
      <c r="F622" s="1"/>
      <c r="G622" s="1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3.2" x14ac:dyDescent="0.25">
      <c r="A623" s="2"/>
      <c r="B623" s="137"/>
      <c r="C623" s="1"/>
      <c r="D623" s="1"/>
      <c r="E623" s="1"/>
      <c r="F623" s="1"/>
      <c r="G623" s="1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3.2" x14ac:dyDescent="0.25">
      <c r="A624" s="2"/>
      <c r="B624" s="137"/>
      <c r="C624" s="1"/>
      <c r="D624" s="1"/>
      <c r="E624" s="1"/>
      <c r="F624" s="1"/>
      <c r="G624" s="1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3.2" x14ac:dyDescent="0.25">
      <c r="A625" s="2"/>
      <c r="B625" s="137"/>
      <c r="C625" s="1"/>
      <c r="D625" s="1"/>
      <c r="E625" s="1"/>
      <c r="F625" s="1"/>
      <c r="G625" s="1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3.2" x14ac:dyDescent="0.25">
      <c r="A626" s="2"/>
      <c r="B626" s="137"/>
      <c r="C626" s="1"/>
      <c r="D626" s="1"/>
      <c r="E626" s="1"/>
      <c r="F626" s="1"/>
      <c r="G626" s="1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3.2" x14ac:dyDescent="0.25">
      <c r="A627" s="2"/>
      <c r="B627" s="137"/>
      <c r="C627" s="1"/>
      <c r="D627" s="1"/>
      <c r="E627" s="1"/>
      <c r="F627" s="1"/>
      <c r="G627" s="1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3.2" x14ac:dyDescent="0.25">
      <c r="A628" s="2"/>
      <c r="B628" s="137"/>
      <c r="C628" s="1"/>
      <c r="D628" s="1"/>
      <c r="E628" s="1"/>
      <c r="F628" s="1"/>
      <c r="G628" s="1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3.2" x14ac:dyDescent="0.25">
      <c r="A629" s="2"/>
      <c r="B629" s="137"/>
      <c r="C629" s="1"/>
      <c r="D629" s="1"/>
      <c r="E629" s="1"/>
      <c r="F629" s="1"/>
      <c r="G629" s="1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3.2" x14ac:dyDescent="0.25">
      <c r="A630" s="2"/>
      <c r="B630" s="137"/>
      <c r="C630" s="1"/>
      <c r="D630" s="1"/>
      <c r="E630" s="1"/>
      <c r="F630" s="1"/>
      <c r="G630" s="1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3.2" x14ac:dyDescent="0.25">
      <c r="A631" s="2"/>
      <c r="B631" s="137"/>
      <c r="C631" s="1"/>
      <c r="D631" s="1"/>
      <c r="E631" s="1"/>
      <c r="F631" s="1"/>
      <c r="G631" s="1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3.2" x14ac:dyDescent="0.25">
      <c r="A632" s="2"/>
      <c r="B632" s="137"/>
      <c r="C632" s="1"/>
      <c r="D632" s="1"/>
      <c r="E632" s="1"/>
      <c r="F632" s="1"/>
      <c r="G632" s="1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3.2" x14ac:dyDescent="0.25">
      <c r="A633" s="2"/>
      <c r="B633" s="137"/>
      <c r="C633" s="1"/>
      <c r="D633" s="1"/>
      <c r="E633" s="1"/>
      <c r="F633" s="1"/>
      <c r="G633" s="1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3.2" x14ac:dyDescent="0.25">
      <c r="A634" s="2"/>
      <c r="B634" s="137"/>
      <c r="C634" s="1"/>
      <c r="D634" s="1"/>
      <c r="E634" s="1"/>
      <c r="F634" s="1"/>
      <c r="G634" s="1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3.2" x14ac:dyDescent="0.25">
      <c r="A635" s="2"/>
      <c r="B635" s="137"/>
      <c r="C635" s="1"/>
      <c r="D635" s="1"/>
      <c r="E635" s="1"/>
      <c r="F635" s="1"/>
      <c r="G635" s="1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3.2" x14ac:dyDescent="0.25">
      <c r="A636" s="2"/>
      <c r="B636" s="137"/>
      <c r="C636" s="1"/>
      <c r="D636" s="1"/>
      <c r="E636" s="1"/>
      <c r="F636" s="1"/>
      <c r="G636" s="1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3.2" x14ac:dyDescent="0.25">
      <c r="A637" s="2"/>
      <c r="B637" s="137"/>
      <c r="C637" s="1"/>
      <c r="D637" s="1"/>
      <c r="E637" s="1"/>
      <c r="F637" s="1"/>
      <c r="G637" s="1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3.2" x14ac:dyDescent="0.25">
      <c r="A638" s="2"/>
      <c r="B638" s="137"/>
      <c r="C638" s="1"/>
      <c r="D638" s="1"/>
      <c r="E638" s="1"/>
      <c r="F638" s="1"/>
      <c r="G638" s="1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3.2" x14ac:dyDescent="0.25">
      <c r="A639" s="2"/>
      <c r="B639" s="137"/>
      <c r="C639" s="1"/>
      <c r="D639" s="1"/>
      <c r="E639" s="1"/>
      <c r="F639" s="1"/>
      <c r="G639" s="1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3.2" x14ac:dyDescent="0.25">
      <c r="A640" s="2"/>
      <c r="B640" s="137"/>
      <c r="C640" s="1"/>
      <c r="D640" s="1"/>
      <c r="E640" s="1"/>
      <c r="F640" s="1"/>
      <c r="G640" s="1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3.2" x14ac:dyDescent="0.25">
      <c r="A641" s="2"/>
      <c r="B641" s="137"/>
      <c r="C641" s="1"/>
      <c r="D641" s="1"/>
      <c r="E641" s="1"/>
      <c r="F641" s="1"/>
      <c r="G641" s="1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3.2" x14ac:dyDescent="0.25">
      <c r="A642" s="2"/>
      <c r="B642" s="137"/>
      <c r="C642" s="1"/>
      <c r="D642" s="1"/>
      <c r="E642" s="1"/>
      <c r="F642" s="1"/>
      <c r="G642" s="1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3.2" x14ac:dyDescent="0.25">
      <c r="A643" s="2"/>
      <c r="B643" s="137"/>
      <c r="C643" s="1"/>
      <c r="D643" s="1"/>
      <c r="E643" s="1"/>
      <c r="F643" s="1"/>
      <c r="G643" s="1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3.2" x14ac:dyDescent="0.25">
      <c r="A644" s="2"/>
      <c r="B644" s="137"/>
      <c r="C644" s="1"/>
      <c r="D644" s="1"/>
      <c r="E644" s="1"/>
      <c r="F644" s="1"/>
      <c r="G644" s="1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3.2" x14ac:dyDescent="0.25">
      <c r="A645" s="2"/>
      <c r="B645" s="137"/>
      <c r="C645" s="1"/>
      <c r="D645" s="1"/>
      <c r="E645" s="1"/>
      <c r="F645" s="1"/>
      <c r="G645" s="1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3.2" x14ac:dyDescent="0.25">
      <c r="A646" s="2"/>
      <c r="B646" s="137"/>
      <c r="C646" s="1"/>
      <c r="D646" s="1"/>
      <c r="E646" s="1"/>
      <c r="F646" s="1"/>
      <c r="G646" s="1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3.2" x14ac:dyDescent="0.25">
      <c r="A647" s="2"/>
      <c r="B647" s="137"/>
      <c r="C647" s="1"/>
      <c r="D647" s="1"/>
      <c r="E647" s="1"/>
      <c r="F647" s="1"/>
      <c r="G647" s="1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3.2" x14ac:dyDescent="0.25">
      <c r="A648" s="2"/>
      <c r="B648" s="137"/>
      <c r="C648" s="1"/>
      <c r="D648" s="1"/>
      <c r="E648" s="1"/>
      <c r="F648" s="1"/>
      <c r="G648" s="1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3.2" x14ac:dyDescent="0.25">
      <c r="A649" s="2"/>
      <c r="B649" s="137"/>
      <c r="C649" s="1"/>
      <c r="D649" s="1"/>
      <c r="E649" s="1"/>
      <c r="F649" s="1"/>
      <c r="G649" s="1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3.2" x14ac:dyDescent="0.25">
      <c r="A650" s="2"/>
      <c r="B650" s="137"/>
      <c r="C650" s="1"/>
      <c r="D650" s="1"/>
      <c r="E650" s="1"/>
      <c r="F650" s="1"/>
      <c r="G650" s="1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3.2" x14ac:dyDescent="0.25">
      <c r="A651" s="2"/>
      <c r="B651" s="137"/>
      <c r="C651" s="1"/>
      <c r="D651" s="1"/>
      <c r="E651" s="1"/>
      <c r="F651" s="1"/>
      <c r="G651" s="1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3.2" x14ac:dyDescent="0.25">
      <c r="A652" s="2"/>
      <c r="B652" s="137"/>
      <c r="C652" s="1"/>
      <c r="D652" s="1"/>
      <c r="E652" s="1"/>
      <c r="F652" s="1"/>
      <c r="G652" s="1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3.2" x14ac:dyDescent="0.25">
      <c r="A653" s="2"/>
      <c r="B653" s="137"/>
      <c r="C653" s="1"/>
      <c r="D653" s="1"/>
      <c r="E653" s="1"/>
      <c r="F653" s="1"/>
      <c r="G653" s="1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3.2" x14ac:dyDescent="0.25">
      <c r="A654" s="2"/>
      <c r="B654" s="137"/>
      <c r="C654" s="1"/>
      <c r="D654" s="1"/>
      <c r="E654" s="1"/>
      <c r="F654" s="1"/>
      <c r="G654" s="1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3.2" x14ac:dyDescent="0.25">
      <c r="A655" s="2"/>
      <c r="B655" s="137"/>
      <c r="C655" s="1"/>
      <c r="D655" s="1"/>
      <c r="E655" s="1"/>
      <c r="F655" s="1"/>
      <c r="G655" s="1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3.2" x14ac:dyDescent="0.25">
      <c r="A656" s="2"/>
      <c r="B656" s="137"/>
      <c r="C656" s="1"/>
      <c r="D656" s="1"/>
      <c r="E656" s="1"/>
      <c r="F656" s="1"/>
      <c r="G656" s="1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3.2" x14ac:dyDescent="0.25">
      <c r="A657" s="2"/>
      <c r="B657" s="137"/>
      <c r="C657" s="1"/>
      <c r="D657" s="1"/>
      <c r="E657" s="1"/>
      <c r="F657" s="1"/>
      <c r="G657" s="1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3.2" x14ac:dyDescent="0.25">
      <c r="A658" s="2"/>
      <c r="B658" s="137"/>
      <c r="C658" s="1"/>
      <c r="D658" s="1"/>
      <c r="E658" s="1"/>
      <c r="F658" s="1"/>
      <c r="G658" s="1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3.2" x14ac:dyDescent="0.25">
      <c r="A659" s="2"/>
      <c r="B659" s="137"/>
      <c r="C659" s="1"/>
      <c r="D659" s="1"/>
      <c r="E659" s="1"/>
      <c r="F659" s="1"/>
      <c r="G659" s="1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3.2" x14ac:dyDescent="0.25">
      <c r="A660" s="2"/>
      <c r="B660" s="137"/>
      <c r="C660" s="1"/>
      <c r="D660" s="1"/>
      <c r="E660" s="1"/>
      <c r="F660" s="1"/>
      <c r="G660" s="1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3.2" x14ac:dyDescent="0.25">
      <c r="A661" s="2"/>
      <c r="B661" s="137"/>
      <c r="C661" s="1"/>
      <c r="D661" s="1"/>
      <c r="E661" s="1"/>
      <c r="F661" s="1"/>
      <c r="G661" s="1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3.2" x14ac:dyDescent="0.25">
      <c r="A662" s="2"/>
      <c r="B662" s="137"/>
      <c r="C662" s="1"/>
      <c r="D662" s="1"/>
      <c r="E662" s="1"/>
      <c r="F662" s="1"/>
      <c r="G662" s="1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3.2" x14ac:dyDescent="0.25">
      <c r="A663" s="2"/>
      <c r="B663" s="137"/>
      <c r="C663" s="1"/>
      <c r="D663" s="1"/>
      <c r="E663" s="1"/>
      <c r="F663" s="1"/>
      <c r="G663" s="1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3.2" x14ac:dyDescent="0.25">
      <c r="A664" s="2"/>
      <c r="B664" s="137"/>
      <c r="C664" s="1"/>
      <c r="D664" s="1"/>
      <c r="E664" s="1"/>
      <c r="F664" s="1"/>
      <c r="G664" s="1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3.2" x14ac:dyDescent="0.25">
      <c r="A665" s="2"/>
      <c r="B665" s="137"/>
      <c r="C665" s="1"/>
      <c r="D665" s="1"/>
      <c r="E665" s="1"/>
      <c r="F665" s="1"/>
      <c r="G665" s="1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3.2" x14ac:dyDescent="0.25">
      <c r="A666" s="2"/>
      <c r="B666" s="137"/>
      <c r="C666" s="1"/>
      <c r="D666" s="1"/>
      <c r="E666" s="1"/>
      <c r="F666" s="1"/>
      <c r="G666" s="1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3.2" x14ac:dyDescent="0.25">
      <c r="A667" s="2"/>
      <c r="B667" s="137"/>
      <c r="C667" s="1"/>
      <c r="D667" s="1"/>
      <c r="E667" s="1"/>
      <c r="F667" s="1"/>
      <c r="G667" s="1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3.2" x14ac:dyDescent="0.25">
      <c r="A668" s="2"/>
      <c r="B668" s="137"/>
      <c r="C668" s="1"/>
      <c r="D668" s="1"/>
      <c r="E668" s="1"/>
      <c r="F668" s="1"/>
      <c r="G668" s="1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3.2" x14ac:dyDescent="0.25">
      <c r="A669" s="2"/>
      <c r="B669" s="137"/>
      <c r="C669" s="1"/>
      <c r="D669" s="1"/>
      <c r="E669" s="1"/>
      <c r="F669" s="1"/>
      <c r="G669" s="1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3.2" x14ac:dyDescent="0.25">
      <c r="A670" s="2"/>
      <c r="B670" s="137"/>
      <c r="C670" s="1"/>
      <c r="D670" s="1"/>
      <c r="E670" s="1"/>
      <c r="F670" s="1"/>
      <c r="G670" s="1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3.2" x14ac:dyDescent="0.25">
      <c r="A671" s="2"/>
      <c r="B671" s="137"/>
      <c r="C671" s="1"/>
      <c r="D671" s="1"/>
      <c r="E671" s="1"/>
      <c r="F671" s="1"/>
      <c r="G671" s="1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3.2" x14ac:dyDescent="0.25">
      <c r="A672" s="2"/>
      <c r="B672" s="137"/>
      <c r="C672" s="1"/>
      <c r="D672" s="1"/>
      <c r="E672" s="1"/>
      <c r="F672" s="1"/>
      <c r="G672" s="1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3.2" x14ac:dyDescent="0.25">
      <c r="A673" s="2"/>
      <c r="B673" s="137"/>
      <c r="C673" s="1"/>
      <c r="D673" s="1"/>
      <c r="E673" s="1"/>
      <c r="F673" s="1"/>
      <c r="G673" s="1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3.2" x14ac:dyDescent="0.25">
      <c r="A674" s="2"/>
      <c r="B674" s="137"/>
      <c r="C674" s="1"/>
      <c r="D674" s="1"/>
      <c r="E674" s="1"/>
      <c r="F674" s="1"/>
      <c r="G674" s="1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3.2" x14ac:dyDescent="0.25">
      <c r="A675" s="2"/>
      <c r="B675" s="137"/>
      <c r="C675" s="1"/>
      <c r="D675" s="1"/>
      <c r="E675" s="1"/>
      <c r="F675" s="1"/>
      <c r="G675" s="1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3.2" x14ac:dyDescent="0.25">
      <c r="A676" s="2"/>
      <c r="B676" s="137"/>
      <c r="C676" s="1"/>
      <c r="D676" s="1"/>
      <c r="E676" s="1"/>
      <c r="F676" s="1"/>
      <c r="G676" s="1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3.2" x14ac:dyDescent="0.25">
      <c r="A677" s="2"/>
      <c r="B677" s="137"/>
      <c r="C677" s="1"/>
      <c r="D677" s="1"/>
      <c r="E677" s="1"/>
      <c r="F677" s="1"/>
      <c r="G677" s="1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3.2" x14ac:dyDescent="0.25">
      <c r="A678" s="2"/>
      <c r="B678" s="137"/>
      <c r="C678" s="1"/>
      <c r="D678" s="1"/>
      <c r="E678" s="1"/>
      <c r="F678" s="1"/>
      <c r="G678" s="1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3.2" x14ac:dyDescent="0.25">
      <c r="A679" s="2"/>
      <c r="B679" s="137"/>
      <c r="C679" s="1"/>
      <c r="D679" s="1"/>
      <c r="E679" s="1"/>
      <c r="F679" s="1"/>
      <c r="G679" s="1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3.2" x14ac:dyDescent="0.25">
      <c r="A680" s="2"/>
      <c r="B680" s="137"/>
      <c r="C680" s="1"/>
      <c r="D680" s="1"/>
      <c r="E680" s="1"/>
      <c r="F680" s="1"/>
      <c r="G680" s="1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3.2" x14ac:dyDescent="0.25">
      <c r="A681" s="2"/>
      <c r="B681" s="137"/>
      <c r="C681" s="1"/>
      <c r="D681" s="1"/>
      <c r="E681" s="1"/>
      <c r="F681" s="1"/>
      <c r="G681" s="1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3.2" x14ac:dyDescent="0.25">
      <c r="A682" s="2"/>
      <c r="B682" s="137"/>
      <c r="C682" s="1"/>
      <c r="D682" s="1"/>
      <c r="E682" s="1"/>
      <c r="F682" s="1"/>
      <c r="G682" s="1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3.2" x14ac:dyDescent="0.25">
      <c r="A683" s="2"/>
      <c r="B683" s="137"/>
      <c r="C683" s="1"/>
      <c r="D683" s="1"/>
      <c r="E683" s="1"/>
      <c r="F683" s="1"/>
      <c r="G683" s="1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3.2" x14ac:dyDescent="0.25">
      <c r="A684" s="2"/>
      <c r="B684" s="137"/>
      <c r="C684" s="1"/>
      <c r="D684" s="1"/>
      <c r="E684" s="1"/>
      <c r="F684" s="1"/>
      <c r="G684" s="1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3.2" x14ac:dyDescent="0.25">
      <c r="A685" s="2"/>
      <c r="B685" s="137"/>
      <c r="C685" s="1"/>
      <c r="D685" s="1"/>
      <c r="E685" s="1"/>
      <c r="F685" s="1"/>
      <c r="G685" s="1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3.2" x14ac:dyDescent="0.25">
      <c r="A686" s="2"/>
      <c r="B686" s="137"/>
      <c r="C686" s="1"/>
      <c r="D686" s="1"/>
      <c r="E686" s="1"/>
      <c r="F686" s="1"/>
      <c r="G686" s="1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3.2" x14ac:dyDescent="0.25">
      <c r="A687" s="2"/>
      <c r="B687" s="137"/>
      <c r="C687" s="1"/>
      <c r="D687" s="1"/>
      <c r="E687" s="1"/>
      <c r="F687" s="1"/>
      <c r="G687" s="1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3.2" x14ac:dyDescent="0.25">
      <c r="A688" s="2"/>
      <c r="B688" s="137"/>
      <c r="C688" s="1"/>
      <c r="D688" s="1"/>
      <c r="E688" s="1"/>
      <c r="F688" s="1"/>
      <c r="G688" s="1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3.2" x14ac:dyDescent="0.25">
      <c r="A689" s="2"/>
      <c r="B689" s="137"/>
      <c r="C689" s="1"/>
      <c r="D689" s="1"/>
      <c r="E689" s="1"/>
      <c r="F689" s="1"/>
      <c r="G689" s="1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3.2" x14ac:dyDescent="0.25">
      <c r="A690" s="2"/>
      <c r="B690" s="137"/>
      <c r="C690" s="1"/>
      <c r="D690" s="1"/>
      <c r="E690" s="1"/>
      <c r="F690" s="1"/>
      <c r="G690" s="1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3.2" x14ac:dyDescent="0.25">
      <c r="A691" s="2"/>
      <c r="B691" s="137"/>
      <c r="C691" s="1"/>
      <c r="D691" s="1"/>
      <c r="E691" s="1"/>
      <c r="F691" s="1"/>
      <c r="G691" s="1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3.2" x14ac:dyDescent="0.25">
      <c r="A692" s="2"/>
      <c r="B692" s="137"/>
      <c r="C692" s="1"/>
      <c r="D692" s="1"/>
      <c r="E692" s="1"/>
      <c r="F692" s="1"/>
      <c r="G692" s="1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3.2" x14ac:dyDescent="0.25">
      <c r="A693" s="2"/>
      <c r="B693" s="137"/>
      <c r="C693" s="1"/>
      <c r="D693" s="1"/>
      <c r="E693" s="1"/>
      <c r="F693" s="1"/>
      <c r="G693" s="1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3.2" x14ac:dyDescent="0.25">
      <c r="A694" s="2"/>
      <c r="B694" s="137"/>
      <c r="C694" s="1"/>
      <c r="D694" s="1"/>
      <c r="E694" s="1"/>
      <c r="F694" s="1"/>
      <c r="G694" s="1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3.2" x14ac:dyDescent="0.25">
      <c r="A695" s="2"/>
      <c r="B695" s="137"/>
      <c r="C695" s="1"/>
      <c r="D695" s="1"/>
      <c r="E695" s="1"/>
      <c r="F695" s="1"/>
      <c r="G695" s="1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3.2" x14ac:dyDescent="0.25">
      <c r="A696" s="2"/>
      <c r="B696" s="137"/>
      <c r="C696" s="1"/>
      <c r="D696" s="1"/>
      <c r="E696" s="1"/>
      <c r="F696" s="1"/>
      <c r="G696" s="1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3.2" x14ac:dyDescent="0.25">
      <c r="A697" s="2"/>
      <c r="B697" s="137"/>
      <c r="C697" s="1"/>
      <c r="D697" s="1"/>
      <c r="E697" s="1"/>
      <c r="F697" s="1"/>
      <c r="G697" s="1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3.2" x14ac:dyDescent="0.25">
      <c r="A698" s="2"/>
      <c r="B698" s="137"/>
      <c r="C698" s="1"/>
      <c r="D698" s="1"/>
      <c r="E698" s="1"/>
      <c r="F698" s="1"/>
      <c r="G698" s="1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3.2" x14ac:dyDescent="0.25">
      <c r="A699" s="2"/>
      <c r="B699" s="137"/>
      <c r="C699" s="1"/>
      <c r="D699" s="1"/>
      <c r="E699" s="1"/>
      <c r="F699" s="1"/>
      <c r="G699" s="1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3.2" x14ac:dyDescent="0.25">
      <c r="A700" s="2"/>
      <c r="B700" s="137"/>
      <c r="C700" s="1"/>
      <c r="D700" s="1"/>
      <c r="E700" s="1"/>
      <c r="F700" s="1"/>
      <c r="G700" s="1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3.2" x14ac:dyDescent="0.25">
      <c r="A701" s="2"/>
      <c r="B701" s="137"/>
      <c r="C701" s="1"/>
      <c r="D701" s="1"/>
      <c r="E701" s="1"/>
      <c r="F701" s="1"/>
      <c r="G701" s="1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3.2" x14ac:dyDescent="0.25">
      <c r="A702" s="2"/>
      <c r="B702" s="137"/>
      <c r="C702" s="1"/>
      <c r="D702" s="1"/>
      <c r="E702" s="1"/>
      <c r="F702" s="1"/>
      <c r="G702" s="1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3.2" x14ac:dyDescent="0.25">
      <c r="A703" s="2"/>
      <c r="B703" s="137"/>
      <c r="C703" s="1"/>
      <c r="D703" s="1"/>
      <c r="E703" s="1"/>
      <c r="F703" s="1"/>
      <c r="G703" s="1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3.2" x14ac:dyDescent="0.25">
      <c r="A704" s="2"/>
      <c r="B704" s="137"/>
      <c r="C704" s="1"/>
      <c r="D704" s="1"/>
      <c r="E704" s="1"/>
      <c r="F704" s="1"/>
      <c r="G704" s="1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3.2" x14ac:dyDescent="0.25">
      <c r="A705" s="2"/>
      <c r="B705" s="137"/>
      <c r="C705" s="1"/>
      <c r="D705" s="1"/>
      <c r="E705" s="1"/>
      <c r="F705" s="1"/>
      <c r="G705" s="1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3.2" x14ac:dyDescent="0.25">
      <c r="A706" s="2"/>
      <c r="B706" s="137"/>
      <c r="C706" s="1"/>
      <c r="D706" s="1"/>
      <c r="E706" s="1"/>
      <c r="F706" s="1"/>
      <c r="G706" s="1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3.2" x14ac:dyDescent="0.25">
      <c r="A707" s="2"/>
      <c r="B707" s="137"/>
      <c r="C707" s="1"/>
      <c r="D707" s="1"/>
      <c r="E707" s="1"/>
      <c r="F707" s="1"/>
      <c r="G707" s="1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3.2" x14ac:dyDescent="0.25">
      <c r="A708" s="2"/>
      <c r="B708" s="137"/>
      <c r="C708" s="1"/>
      <c r="D708" s="1"/>
      <c r="E708" s="1"/>
      <c r="F708" s="1"/>
      <c r="G708" s="1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3.2" x14ac:dyDescent="0.25">
      <c r="A709" s="2"/>
      <c r="B709" s="137"/>
      <c r="C709" s="1"/>
      <c r="D709" s="1"/>
      <c r="E709" s="1"/>
      <c r="F709" s="1"/>
      <c r="G709" s="1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3.2" x14ac:dyDescent="0.25">
      <c r="A710" s="2"/>
      <c r="B710" s="137"/>
      <c r="C710" s="1"/>
      <c r="D710" s="1"/>
      <c r="E710" s="1"/>
      <c r="F710" s="1"/>
      <c r="G710" s="1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3.2" x14ac:dyDescent="0.25">
      <c r="A711" s="2"/>
      <c r="B711" s="137"/>
      <c r="C711" s="1"/>
      <c r="D711" s="1"/>
      <c r="E711" s="1"/>
      <c r="F711" s="1"/>
      <c r="G711" s="1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3.2" x14ac:dyDescent="0.25">
      <c r="A712" s="2"/>
      <c r="B712" s="137"/>
      <c r="C712" s="1"/>
      <c r="D712" s="1"/>
      <c r="E712" s="1"/>
      <c r="F712" s="1"/>
      <c r="G712" s="1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3.2" x14ac:dyDescent="0.25">
      <c r="A713" s="2"/>
      <c r="B713" s="137"/>
      <c r="C713" s="1"/>
      <c r="D713" s="1"/>
      <c r="E713" s="1"/>
      <c r="F713" s="1"/>
      <c r="G713" s="1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3.2" x14ac:dyDescent="0.25">
      <c r="A714" s="2"/>
      <c r="B714" s="137"/>
      <c r="C714" s="1"/>
      <c r="D714" s="1"/>
      <c r="E714" s="1"/>
      <c r="F714" s="1"/>
      <c r="G714" s="1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3.2" x14ac:dyDescent="0.25">
      <c r="A715" s="2"/>
      <c r="B715" s="137"/>
      <c r="C715" s="1"/>
      <c r="D715" s="1"/>
      <c r="E715" s="1"/>
      <c r="F715" s="1"/>
      <c r="G715" s="1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3.2" x14ac:dyDescent="0.25">
      <c r="A716" s="2"/>
      <c r="B716" s="137"/>
      <c r="C716" s="1"/>
      <c r="D716" s="1"/>
      <c r="E716" s="1"/>
      <c r="F716" s="1"/>
      <c r="G716" s="1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3.2" x14ac:dyDescent="0.25">
      <c r="A717" s="2"/>
      <c r="B717" s="137"/>
      <c r="C717" s="1"/>
      <c r="D717" s="1"/>
      <c r="E717" s="1"/>
      <c r="F717" s="1"/>
      <c r="G717" s="1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3.2" x14ac:dyDescent="0.25">
      <c r="A718" s="2"/>
      <c r="B718" s="137"/>
      <c r="C718" s="1"/>
      <c r="D718" s="1"/>
      <c r="E718" s="1"/>
      <c r="F718" s="1"/>
      <c r="G718" s="1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3.2" x14ac:dyDescent="0.25">
      <c r="A719" s="2"/>
      <c r="B719" s="137"/>
      <c r="C719" s="1"/>
      <c r="D719" s="1"/>
      <c r="E719" s="1"/>
      <c r="F719" s="1"/>
      <c r="G719" s="1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3.2" x14ac:dyDescent="0.25">
      <c r="A720" s="2"/>
      <c r="B720" s="137"/>
      <c r="C720" s="1"/>
      <c r="D720" s="1"/>
      <c r="E720" s="1"/>
      <c r="F720" s="1"/>
      <c r="G720" s="1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3.2" x14ac:dyDescent="0.25">
      <c r="A721" s="2"/>
      <c r="B721" s="137"/>
      <c r="C721" s="1"/>
      <c r="D721" s="1"/>
      <c r="E721" s="1"/>
      <c r="F721" s="1"/>
      <c r="G721" s="1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3.2" x14ac:dyDescent="0.25">
      <c r="A722" s="2"/>
      <c r="B722" s="137"/>
      <c r="C722" s="1"/>
      <c r="D722" s="1"/>
      <c r="E722" s="1"/>
      <c r="F722" s="1"/>
      <c r="G722" s="1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3.2" x14ac:dyDescent="0.25">
      <c r="A723" s="2"/>
      <c r="B723" s="137"/>
      <c r="C723" s="1"/>
      <c r="D723" s="1"/>
      <c r="E723" s="1"/>
      <c r="F723" s="1"/>
      <c r="G723" s="1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3.2" x14ac:dyDescent="0.25">
      <c r="A724" s="2"/>
      <c r="B724" s="137"/>
      <c r="C724" s="1"/>
      <c r="D724" s="1"/>
      <c r="E724" s="1"/>
      <c r="F724" s="1"/>
      <c r="G724" s="1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3.2" x14ac:dyDescent="0.25">
      <c r="A725" s="2"/>
      <c r="B725" s="137"/>
      <c r="C725" s="1"/>
      <c r="D725" s="1"/>
      <c r="E725" s="1"/>
      <c r="F725" s="1"/>
      <c r="G725" s="1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3.2" x14ac:dyDescent="0.25">
      <c r="A726" s="2"/>
      <c r="B726" s="137"/>
      <c r="C726" s="1"/>
      <c r="D726" s="1"/>
      <c r="E726" s="1"/>
      <c r="F726" s="1"/>
      <c r="G726" s="1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3.2" x14ac:dyDescent="0.25">
      <c r="A727" s="2"/>
      <c r="B727" s="137"/>
      <c r="C727" s="1"/>
      <c r="D727" s="1"/>
      <c r="E727" s="1"/>
      <c r="F727" s="1"/>
      <c r="G727" s="1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3.2" x14ac:dyDescent="0.25">
      <c r="A728" s="2"/>
      <c r="B728" s="137"/>
      <c r="C728" s="1"/>
      <c r="D728" s="1"/>
      <c r="E728" s="1"/>
      <c r="F728" s="1"/>
      <c r="G728" s="1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3.2" x14ac:dyDescent="0.25">
      <c r="A729" s="2"/>
      <c r="B729" s="137"/>
      <c r="C729" s="1"/>
      <c r="D729" s="1"/>
      <c r="E729" s="1"/>
      <c r="F729" s="1"/>
      <c r="G729" s="1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3.2" x14ac:dyDescent="0.25">
      <c r="A730" s="2"/>
      <c r="B730" s="137"/>
      <c r="C730" s="1"/>
      <c r="D730" s="1"/>
      <c r="E730" s="1"/>
      <c r="F730" s="1"/>
      <c r="G730" s="1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3.2" x14ac:dyDescent="0.25">
      <c r="A731" s="2"/>
      <c r="B731" s="137"/>
      <c r="C731" s="1"/>
      <c r="D731" s="1"/>
      <c r="E731" s="1"/>
      <c r="F731" s="1"/>
      <c r="G731" s="1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3.2" x14ac:dyDescent="0.25">
      <c r="A732" s="2"/>
      <c r="B732" s="137"/>
      <c r="C732" s="1"/>
      <c r="D732" s="1"/>
      <c r="E732" s="1"/>
      <c r="F732" s="1"/>
      <c r="G732" s="1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3.2" x14ac:dyDescent="0.25">
      <c r="A733" s="2"/>
      <c r="B733" s="137"/>
      <c r="C733" s="1"/>
      <c r="D733" s="1"/>
      <c r="E733" s="1"/>
      <c r="F733" s="1"/>
      <c r="G733" s="1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3.2" x14ac:dyDescent="0.25">
      <c r="A734" s="2"/>
      <c r="B734" s="137"/>
      <c r="C734" s="1"/>
      <c r="D734" s="1"/>
      <c r="E734" s="1"/>
      <c r="F734" s="1"/>
      <c r="G734" s="1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3.2" x14ac:dyDescent="0.25">
      <c r="A735" s="2"/>
      <c r="B735" s="137"/>
      <c r="C735" s="1"/>
      <c r="D735" s="1"/>
      <c r="E735" s="1"/>
      <c r="F735" s="1"/>
      <c r="G735" s="1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3.2" x14ac:dyDescent="0.25">
      <c r="A736" s="2"/>
      <c r="B736" s="137"/>
      <c r="C736" s="1"/>
      <c r="D736" s="1"/>
      <c r="E736" s="1"/>
      <c r="F736" s="1"/>
      <c r="G736" s="1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3.2" x14ac:dyDescent="0.25">
      <c r="A737" s="2"/>
      <c r="B737" s="137"/>
      <c r="C737" s="1"/>
      <c r="D737" s="1"/>
      <c r="E737" s="1"/>
      <c r="F737" s="1"/>
      <c r="G737" s="1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3.2" x14ac:dyDescent="0.25">
      <c r="A738" s="2"/>
      <c r="B738" s="137"/>
      <c r="C738" s="1"/>
      <c r="D738" s="1"/>
      <c r="E738" s="1"/>
      <c r="F738" s="1"/>
      <c r="G738" s="1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3.2" x14ac:dyDescent="0.25">
      <c r="A739" s="2"/>
      <c r="B739" s="137"/>
      <c r="C739" s="1"/>
      <c r="D739" s="1"/>
      <c r="E739" s="1"/>
      <c r="F739" s="1"/>
      <c r="G739" s="1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3.2" x14ac:dyDescent="0.25">
      <c r="A740" s="2"/>
      <c r="B740" s="137"/>
      <c r="C740" s="1"/>
      <c r="D740" s="1"/>
      <c r="E740" s="1"/>
      <c r="F740" s="1"/>
      <c r="G740" s="1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3.2" x14ac:dyDescent="0.25">
      <c r="A741" s="2"/>
      <c r="B741" s="137"/>
      <c r="C741" s="1"/>
      <c r="D741" s="1"/>
      <c r="E741" s="1"/>
      <c r="F741" s="1"/>
      <c r="G741" s="1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3.2" x14ac:dyDescent="0.25">
      <c r="A742" s="2"/>
      <c r="B742" s="137"/>
      <c r="C742" s="1"/>
      <c r="D742" s="1"/>
      <c r="E742" s="1"/>
      <c r="F742" s="1"/>
      <c r="G742" s="1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3.2" x14ac:dyDescent="0.25">
      <c r="A743" s="2"/>
      <c r="B743" s="137"/>
      <c r="C743" s="1"/>
      <c r="D743" s="1"/>
      <c r="E743" s="1"/>
      <c r="F743" s="1"/>
      <c r="G743" s="1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3.2" x14ac:dyDescent="0.25">
      <c r="A744" s="2"/>
      <c r="B744" s="137"/>
      <c r="C744" s="1"/>
      <c r="D744" s="1"/>
      <c r="E744" s="1"/>
      <c r="F744" s="1"/>
      <c r="G744" s="1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3.2" x14ac:dyDescent="0.25">
      <c r="A745" s="2"/>
      <c r="B745" s="137"/>
      <c r="C745" s="1"/>
      <c r="D745" s="1"/>
      <c r="E745" s="1"/>
      <c r="F745" s="1"/>
      <c r="G745" s="1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3.2" x14ac:dyDescent="0.25">
      <c r="A746" s="2"/>
      <c r="B746" s="137"/>
      <c r="C746" s="1"/>
      <c r="D746" s="1"/>
      <c r="E746" s="1"/>
      <c r="F746" s="1"/>
      <c r="G746" s="1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3.2" x14ac:dyDescent="0.25">
      <c r="A747" s="2"/>
      <c r="B747" s="137"/>
      <c r="C747" s="1"/>
      <c r="D747" s="1"/>
      <c r="E747" s="1"/>
      <c r="F747" s="1"/>
      <c r="G747" s="1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3.2" x14ac:dyDescent="0.25">
      <c r="A748" s="2"/>
      <c r="B748" s="137"/>
      <c r="C748" s="1"/>
      <c r="D748" s="1"/>
      <c r="E748" s="1"/>
      <c r="F748" s="1"/>
      <c r="G748" s="1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3.2" x14ac:dyDescent="0.25">
      <c r="A749" s="2"/>
      <c r="B749" s="137"/>
      <c r="C749" s="1"/>
      <c r="D749" s="1"/>
      <c r="E749" s="1"/>
      <c r="F749" s="1"/>
      <c r="G749" s="1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3.2" x14ac:dyDescent="0.25">
      <c r="A750" s="2"/>
      <c r="B750" s="137"/>
      <c r="C750" s="1"/>
      <c r="D750" s="1"/>
      <c r="E750" s="1"/>
      <c r="F750" s="1"/>
      <c r="G750" s="1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3.2" x14ac:dyDescent="0.25">
      <c r="A751" s="2"/>
      <c r="B751" s="137"/>
      <c r="C751" s="1"/>
      <c r="D751" s="1"/>
      <c r="E751" s="1"/>
      <c r="F751" s="1"/>
      <c r="G751" s="1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3.2" x14ac:dyDescent="0.25">
      <c r="A752" s="2"/>
      <c r="B752" s="137"/>
      <c r="C752" s="1"/>
      <c r="D752" s="1"/>
      <c r="E752" s="1"/>
      <c r="F752" s="1"/>
      <c r="G752" s="1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3.2" x14ac:dyDescent="0.25">
      <c r="A753" s="2"/>
      <c r="B753" s="137"/>
      <c r="C753" s="1"/>
      <c r="D753" s="1"/>
      <c r="E753" s="1"/>
      <c r="F753" s="1"/>
      <c r="G753" s="1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3.2" x14ac:dyDescent="0.25">
      <c r="A754" s="2"/>
      <c r="B754" s="137"/>
      <c r="C754" s="1"/>
      <c r="D754" s="1"/>
      <c r="E754" s="1"/>
      <c r="F754" s="1"/>
      <c r="G754" s="1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3.2" x14ac:dyDescent="0.25">
      <c r="A755" s="2"/>
      <c r="B755" s="137"/>
      <c r="C755" s="1"/>
      <c r="D755" s="1"/>
      <c r="E755" s="1"/>
      <c r="F755" s="1"/>
      <c r="G755" s="1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3.2" x14ac:dyDescent="0.25">
      <c r="A756" s="2"/>
      <c r="B756" s="137"/>
      <c r="C756" s="1"/>
      <c r="D756" s="1"/>
      <c r="E756" s="1"/>
      <c r="F756" s="1"/>
      <c r="G756" s="1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3.2" x14ac:dyDescent="0.25">
      <c r="A757" s="2"/>
      <c r="B757" s="137"/>
      <c r="C757" s="1"/>
      <c r="D757" s="1"/>
      <c r="E757" s="1"/>
      <c r="F757" s="1"/>
      <c r="G757" s="1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3.2" x14ac:dyDescent="0.25">
      <c r="A758" s="2"/>
      <c r="B758" s="137"/>
      <c r="C758" s="1"/>
      <c r="D758" s="1"/>
      <c r="E758" s="1"/>
      <c r="F758" s="1"/>
      <c r="G758" s="1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3.2" x14ac:dyDescent="0.25">
      <c r="A759" s="2"/>
      <c r="B759" s="137"/>
      <c r="C759" s="1"/>
      <c r="D759" s="1"/>
      <c r="E759" s="1"/>
      <c r="F759" s="1"/>
      <c r="G759" s="1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3.2" x14ac:dyDescent="0.25">
      <c r="A760" s="2"/>
      <c r="B760" s="137"/>
      <c r="C760" s="1"/>
      <c r="D760" s="1"/>
      <c r="E760" s="1"/>
      <c r="F760" s="1"/>
      <c r="G760" s="1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3.2" x14ac:dyDescent="0.25">
      <c r="A761" s="2"/>
      <c r="B761" s="137"/>
      <c r="C761" s="1"/>
      <c r="D761" s="1"/>
      <c r="E761" s="1"/>
      <c r="F761" s="1"/>
      <c r="G761" s="1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3.2" x14ac:dyDescent="0.25">
      <c r="A762" s="2"/>
      <c r="B762" s="137"/>
      <c r="C762" s="1"/>
      <c r="D762" s="1"/>
      <c r="E762" s="1"/>
      <c r="F762" s="1"/>
      <c r="G762" s="1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3.2" x14ac:dyDescent="0.25">
      <c r="A763" s="2"/>
      <c r="B763" s="137"/>
      <c r="C763" s="1"/>
      <c r="D763" s="1"/>
      <c r="E763" s="1"/>
      <c r="F763" s="1"/>
      <c r="G763" s="1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3.2" x14ac:dyDescent="0.25">
      <c r="A764" s="2"/>
      <c r="B764" s="137"/>
      <c r="C764" s="1"/>
      <c r="D764" s="1"/>
      <c r="E764" s="1"/>
      <c r="F764" s="1"/>
      <c r="G764" s="1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3.2" x14ac:dyDescent="0.25">
      <c r="A765" s="2"/>
      <c r="B765" s="137"/>
      <c r="C765" s="1"/>
      <c r="D765" s="1"/>
      <c r="E765" s="1"/>
      <c r="F765" s="1"/>
      <c r="G765" s="1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3.2" x14ac:dyDescent="0.25">
      <c r="A766" s="2"/>
      <c r="B766" s="137"/>
      <c r="C766" s="1"/>
      <c r="D766" s="1"/>
      <c r="E766" s="1"/>
      <c r="F766" s="1"/>
      <c r="G766" s="1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3.2" x14ac:dyDescent="0.25">
      <c r="A767" s="2"/>
      <c r="B767" s="137"/>
      <c r="C767" s="1"/>
      <c r="D767" s="1"/>
      <c r="E767" s="1"/>
      <c r="F767" s="1"/>
      <c r="G767" s="1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3.2" x14ac:dyDescent="0.25">
      <c r="A768" s="2"/>
      <c r="B768" s="137"/>
      <c r="C768" s="1"/>
      <c r="D768" s="1"/>
      <c r="E768" s="1"/>
      <c r="F768" s="1"/>
      <c r="G768" s="1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3.2" x14ac:dyDescent="0.25">
      <c r="A769" s="2"/>
      <c r="B769" s="137"/>
      <c r="C769" s="1"/>
      <c r="D769" s="1"/>
      <c r="E769" s="1"/>
      <c r="F769" s="1"/>
      <c r="G769" s="1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3.2" x14ac:dyDescent="0.25">
      <c r="A770" s="2"/>
      <c r="B770" s="137"/>
      <c r="C770" s="1"/>
      <c r="D770" s="1"/>
      <c r="E770" s="1"/>
      <c r="F770" s="1"/>
      <c r="G770" s="1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3.2" x14ac:dyDescent="0.25">
      <c r="A771" s="2"/>
      <c r="B771" s="137"/>
      <c r="C771" s="1"/>
      <c r="D771" s="1"/>
      <c r="E771" s="1"/>
      <c r="F771" s="1"/>
      <c r="G771" s="1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3.2" x14ac:dyDescent="0.25">
      <c r="A772" s="2"/>
      <c r="B772" s="137"/>
      <c r="C772" s="1"/>
      <c r="D772" s="1"/>
      <c r="E772" s="1"/>
      <c r="F772" s="1"/>
      <c r="G772" s="1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3.2" x14ac:dyDescent="0.25">
      <c r="A773" s="2"/>
      <c r="B773" s="137"/>
      <c r="C773" s="1"/>
      <c r="D773" s="1"/>
      <c r="E773" s="1"/>
      <c r="F773" s="1"/>
      <c r="G773" s="1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3.2" x14ac:dyDescent="0.25">
      <c r="A774" s="2"/>
      <c r="B774" s="137"/>
      <c r="C774" s="1"/>
      <c r="D774" s="1"/>
      <c r="E774" s="1"/>
      <c r="F774" s="1"/>
      <c r="G774" s="1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3.2" x14ac:dyDescent="0.25">
      <c r="A775" s="2"/>
      <c r="B775" s="137"/>
      <c r="C775" s="1"/>
      <c r="D775" s="1"/>
      <c r="E775" s="1"/>
      <c r="F775" s="1"/>
      <c r="G775" s="1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3.2" x14ac:dyDescent="0.25">
      <c r="A776" s="2"/>
      <c r="B776" s="137"/>
      <c r="C776" s="1"/>
      <c r="D776" s="1"/>
      <c r="E776" s="1"/>
      <c r="F776" s="1"/>
      <c r="G776" s="1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3.2" x14ac:dyDescent="0.25">
      <c r="A777" s="2"/>
      <c r="B777" s="137"/>
      <c r="C777" s="1"/>
      <c r="D777" s="1"/>
      <c r="E777" s="1"/>
      <c r="F777" s="1"/>
      <c r="G777" s="1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3.2" x14ac:dyDescent="0.25">
      <c r="A778" s="2"/>
      <c r="B778" s="137"/>
      <c r="C778" s="1"/>
      <c r="D778" s="1"/>
      <c r="E778" s="1"/>
      <c r="F778" s="1"/>
      <c r="G778" s="1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3.2" x14ac:dyDescent="0.25">
      <c r="A779" s="2"/>
      <c r="B779" s="137"/>
      <c r="C779" s="1"/>
      <c r="D779" s="1"/>
      <c r="E779" s="1"/>
      <c r="F779" s="1"/>
      <c r="G779" s="1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3.2" x14ac:dyDescent="0.25">
      <c r="A780" s="2"/>
      <c r="B780" s="137"/>
      <c r="C780" s="1"/>
      <c r="D780" s="1"/>
      <c r="E780" s="1"/>
      <c r="F780" s="1"/>
      <c r="G780" s="1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3.2" x14ac:dyDescent="0.25">
      <c r="A781" s="2"/>
      <c r="B781" s="137"/>
      <c r="C781" s="1"/>
      <c r="D781" s="1"/>
      <c r="E781" s="1"/>
      <c r="F781" s="1"/>
      <c r="G781" s="1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3.2" x14ac:dyDescent="0.25">
      <c r="A782" s="2"/>
      <c r="B782" s="137"/>
      <c r="C782" s="1"/>
      <c r="D782" s="1"/>
      <c r="E782" s="1"/>
      <c r="F782" s="1"/>
      <c r="G782" s="1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3.2" x14ac:dyDescent="0.25">
      <c r="A783" s="2"/>
      <c r="B783" s="137"/>
      <c r="C783" s="1"/>
      <c r="D783" s="1"/>
      <c r="E783" s="1"/>
      <c r="F783" s="1"/>
      <c r="G783" s="1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3.2" x14ac:dyDescent="0.25">
      <c r="A784" s="2"/>
      <c r="B784" s="137"/>
      <c r="C784" s="1"/>
      <c r="D784" s="1"/>
      <c r="E784" s="1"/>
      <c r="F784" s="1"/>
      <c r="G784" s="1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3.2" x14ac:dyDescent="0.25">
      <c r="A785" s="2"/>
      <c r="B785" s="137"/>
      <c r="C785" s="1"/>
      <c r="D785" s="1"/>
      <c r="E785" s="1"/>
      <c r="F785" s="1"/>
      <c r="G785" s="1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3.2" x14ac:dyDescent="0.25">
      <c r="A786" s="2"/>
      <c r="B786" s="137"/>
      <c r="C786" s="1"/>
      <c r="D786" s="1"/>
      <c r="E786" s="1"/>
      <c r="F786" s="1"/>
      <c r="G786" s="1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3.2" x14ac:dyDescent="0.25">
      <c r="A787" s="2"/>
      <c r="B787" s="137"/>
      <c r="C787" s="1"/>
      <c r="D787" s="1"/>
      <c r="E787" s="1"/>
      <c r="F787" s="1"/>
      <c r="G787" s="1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3.2" x14ac:dyDescent="0.25">
      <c r="A788" s="2"/>
      <c r="B788" s="137"/>
      <c r="C788" s="1"/>
      <c r="D788" s="1"/>
      <c r="E788" s="1"/>
      <c r="F788" s="1"/>
      <c r="G788" s="1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3.2" x14ac:dyDescent="0.25">
      <c r="A789" s="2"/>
      <c r="B789" s="137"/>
      <c r="C789" s="1"/>
      <c r="D789" s="1"/>
      <c r="E789" s="1"/>
      <c r="F789" s="1"/>
      <c r="G789" s="1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3.2" x14ac:dyDescent="0.25">
      <c r="A790" s="2"/>
      <c r="B790" s="137"/>
      <c r="C790" s="1"/>
      <c r="D790" s="1"/>
      <c r="E790" s="1"/>
      <c r="F790" s="1"/>
      <c r="G790" s="1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3.2" x14ac:dyDescent="0.25">
      <c r="A791" s="2"/>
      <c r="B791" s="137"/>
      <c r="C791" s="1"/>
      <c r="D791" s="1"/>
      <c r="E791" s="1"/>
      <c r="F791" s="1"/>
      <c r="G791" s="1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3.2" x14ac:dyDescent="0.25">
      <c r="A792" s="2"/>
      <c r="B792" s="137"/>
      <c r="C792" s="1"/>
      <c r="D792" s="1"/>
      <c r="E792" s="1"/>
      <c r="F792" s="1"/>
      <c r="G792" s="1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3.2" x14ac:dyDescent="0.25">
      <c r="A793" s="2"/>
      <c r="B793" s="137"/>
      <c r="C793" s="1"/>
      <c r="D793" s="1"/>
      <c r="E793" s="1"/>
      <c r="F793" s="1"/>
      <c r="G793" s="1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3.2" x14ac:dyDescent="0.25">
      <c r="A794" s="2"/>
      <c r="B794" s="137"/>
      <c r="C794" s="1"/>
      <c r="D794" s="1"/>
      <c r="E794" s="1"/>
      <c r="F794" s="1"/>
      <c r="G794" s="1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3.2" x14ac:dyDescent="0.25">
      <c r="A795" s="2"/>
      <c r="B795" s="137"/>
      <c r="C795" s="1"/>
      <c r="D795" s="1"/>
      <c r="E795" s="1"/>
      <c r="F795" s="1"/>
      <c r="G795" s="1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3.2" x14ac:dyDescent="0.25">
      <c r="A796" s="2"/>
      <c r="B796" s="137"/>
      <c r="C796" s="1"/>
      <c r="D796" s="1"/>
      <c r="E796" s="1"/>
      <c r="F796" s="1"/>
      <c r="G796" s="1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3.2" x14ac:dyDescent="0.25">
      <c r="A797" s="2"/>
      <c r="B797" s="137"/>
      <c r="C797" s="1"/>
      <c r="D797" s="1"/>
      <c r="E797" s="1"/>
      <c r="F797" s="1"/>
      <c r="G797" s="1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3.2" x14ac:dyDescent="0.25">
      <c r="A798" s="2"/>
      <c r="B798" s="137"/>
      <c r="C798" s="1"/>
      <c r="D798" s="1"/>
      <c r="E798" s="1"/>
      <c r="F798" s="1"/>
      <c r="G798" s="1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3.2" x14ac:dyDescent="0.25">
      <c r="A799" s="2"/>
      <c r="B799" s="137"/>
      <c r="C799" s="1"/>
      <c r="D799" s="1"/>
      <c r="E799" s="1"/>
      <c r="F799" s="1"/>
      <c r="G799" s="1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3.2" x14ac:dyDescent="0.25">
      <c r="A800" s="2"/>
      <c r="B800" s="137"/>
      <c r="C800" s="1"/>
      <c r="D800" s="1"/>
      <c r="E800" s="1"/>
      <c r="F800" s="1"/>
      <c r="G800" s="1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3.2" x14ac:dyDescent="0.25">
      <c r="A801" s="2"/>
      <c r="B801" s="137"/>
      <c r="C801" s="1"/>
      <c r="D801" s="1"/>
      <c r="E801" s="1"/>
      <c r="F801" s="1"/>
      <c r="G801" s="1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3.2" x14ac:dyDescent="0.25">
      <c r="A802" s="2"/>
      <c r="B802" s="137"/>
      <c r="C802" s="1"/>
      <c r="D802" s="1"/>
      <c r="E802" s="1"/>
      <c r="F802" s="1"/>
      <c r="G802" s="1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3.2" x14ac:dyDescent="0.25">
      <c r="A803" s="2"/>
      <c r="B803" s="137"/>
      <c r="C803" s="1"/>
      <c r="D803" s="1"/>
      <c r="E803" s="1"/>
      <c r="F803" s="1"/>
      <c r="G803" s="1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3.2" x14ac:dyDescent="0.25">
      <c r="A804" s="2"/>
      <c r="B804" s="137"/>
      <c r="C804" s="1"/>
      <c r="D804" s="1"/>
      <c r="E804" s="1"/>
      <c r="F804" s="1"/>
      <c r="G804" s="1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3.2" x14ac:dyDescent="0.25">
      <c r="A805" s="2"/>
      <c r="B805" s="137"/>
      <c r="C805" s="1"/>
      <c r="D805" s="1"/>
      <c r="E805" s="1"/>
      <c r="F805" s="1"/>
      <c r="G805" s="1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3.2" x14ac:dyDescent="0.25">
      <c r="A806" s="2"/>
      <c r="B806" s="137"/>
      <c r="C806" s="1"/>
      <c r="D806" s="1"/>
      <c r="E806" s="1"/>
      <c r="F806" s="1"/>
      <c r="G806" s="1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3.2" x14ac:dyDescent="0.25">
      <c r="A807" s="2"/>
      <c r="B807" s="137"/>
      <c r="C807" s="1"/>
      <c r="D807" s="1"/>
      <c r="E807" s="1"/>
      <c r="F807" s="1"/>
      <c r="G807" s="1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3.2" x14ac:dyDescent="0.25">
      <c r="A808" s="2"/>
      <c r="B808" s="137"/>
      <c r="C808" s="1"/>
      <c r="D808" s="1"/>
      <c r="E808" s="1"/>
      <c r="F808" s="1"/>
      <c r="G808" s="1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3.2" x14ac:dyDescent="0.25">
      <c r="A809" s="2"/>
      <c r="B809" s="137"/>
      <c r="C809" s="1"/>
      <c r="D809" s="1"/>
      <c r="E809" s="1"/>
      <c r="F809" s="1"/>
      <c r="G809" s="1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3.2" x14ac:dyDescent="0.25">
      <c r="A810" s="2"/>
      <c r="B810" s="137"/>
      <c r="C810" s="1"/>
      <c r="D810" s="1"/>
      <c r="E810" s="1"/>
      <c r="F810" s="1"/>
      <c r="G810" s="1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3.2" x14ac:dyDescent="0.25">
      <c r="A811" s="2"/>
      <c r="B811" s="137"/>
      <c r="C811" s="1"/>
      <c r="D811" s="1"/>
      <c r="E811" s="1"/>
      <c r="F811" s="1"/>
      <c r="G811" s="1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3.2" x14ac:dyDescent="0.25">
      <c r="A812" s="2"/>
      <c r="B812" s="137"/>
      <c r="C812" s="1"/>
      <c r="D812" s="1"/>
      <c r="E812" s="1"/>
      <c r="F812" s="1"/>
      <c r="G812" s="1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3.2" x14ac:dyDescent="0.25">
      <c r="A813" s="2"/>
      <c r="B813" s="137"/>
      <c r="C813" s="1"/>
      <c r="D813" s="1"/>
      <c r="E813" s="1"/>
      <c r="F813" s="1"/>
      <c r="G813" s="1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3.2" x14ac:dyDescent="0.25">
      <c r="A814" s="2"/>
      <c r="B814" s="137"/>
      <c r="C814" s="1"/>
      <c r="D814" s="1"/>
      <c r="E814" s="1"/>
      <c r="F814" s="1"/>
      <c r="G814" s="1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3.2" x14ac:dyDescent="0.25">
      <c r="A815" s="2"/>
      <c r="B815" s="137"/>
      <c r="C815" s="1"/>
      <c r="D815" s="1"/>
      <c r="E815" s="1"/>
      <c r="F815" s="1"/>
      <c r="G815" s="1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3.2" x14ac:dyDescent="0.25">
      <c r="A816" s="2"/>
      <c r="B816" s="137"/>
      <c r="C816" s="1"/>
      <c r="D816" s="1"/>
      <c r="E816" s="1"/>
      <c r="F816" s="1"/>
      <c r="G816" s="1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3.2" x14ac:dyDescent="0.25">
      <c r="A817" s="2"/>
      <c r="B817" s="137"/>
      <c r="C817" s="1"/>
      <c r="D817" s="1"/>
      <c r="E817" s="1"/>
      <c r="F817" s="1"/>
      <c r="G817" s="1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3.2" x14ac:dyDescent="0.25">
      <c r="A818" s="2"/>
      <c r="B818" s="137"/>
      <c r="C818" s="1"/>
      <c r="D818" s="1"/>
      <c r="E818" s="1"/>
      <c r="F818" s="1"/>
      <c r="G818" s="1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3.2" x14ac:dyDescent="0.25">
      <c r="A819" s="2"/>
      <c r="B819" s="137"/>
      <c r="C819" s="1"/>
      <c r="D819" s="1"/>
      <c r="E819" s="1"/>
      <c r="F819" s="1"/>
      <c r="G819" s="1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3.2" x14ac:dyDescent="0.25">
      <c r="A820" s="2"/>
      <c r="B820" s="137"/>
      <c r="C820" s="1"/>
      <c r="D820" s="1"/>
      <c r="E820" s="1"/>
      <c r="F820" s="1"/>
      <c r="G820" s="1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3.2" x14ac:dyDescent="0.25">
      <c r="A821" s="2"/>
      <c r="B821" s="137"/>
      <c r="C821" s="1"/>
      <c r="D821" s="1"/>
      <c r="E821" s="1"/>
      <c r="F821" s="1"/>
      <c r="G821" s="1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3.2" x14ac:dyDescent="0.25">
      <c r="A822" s="2"/>
      <c r="B822" s="137"/>
      <c r="C822" s="1"/>
      <c r="D822" s="1"/>
      <c r="E822" s="1"/>
      <c r="F822" s="1"/>
      <c r="G822" s="1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3.2" x14ac:dyDescent="0.25">
      <c r="A823" s="2"/>
      <c r="B823" s="137"/>
      <c r="C823" s="1"/>
      <c r="D823" s="1"/>
      <c r="E823" s="1"/>
      <c r="F823" s="1"/>
      <c r="G823" s="1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3.2" x14ac:dyDescent="0.25">
      <c r="A824" s="2"/>
      <c r="B824" s="137"/>
      <c r="C824" s="1"/>
      <c r="D824" s="1"/>
      <c r="E824" s="1"/>
      <c r="F824" s="1"/>
      <c r="G824" s="1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3.2" x14ac:dyDescent="0.25">
      <c r="A825" s="2"/>
      <c r="B825" s="137"/>
      <c r="C825" s="1"/>
      <c r="D825" s="1"/>
      <c r="E825" s="1"/>
      <c r="F825" s="1"/>
      <c r="G825" s="1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3.2" x14ac:dyDescent="0.25">
      <c r="A826" s="2"/>
      <c r="B826" s="137"/>
      <c r="C826" s="1"/>
      <c r="D826" s="1"/>
      <c r="E826" s="1"/>
      <c r="F826" s="1"/>
      <c r="G826" s="1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3.2" x14ac:dyDescent="0.25">
      <c r="A827" s="2"/>
      <c r="B827" s="137"/>
      <c r="C827" s="1"/>
      <c r="D827" s="1"/>
      <c r="E827" s="1"/>
      <c r="F827" s="1"/>
      <c r="G827" s="1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3.2" x14ac:dyDescent="0.25">
      <c r="A828" s="2"/>
      <c r="B828" s="137"/>
      <c r="C828" s="1"/>
      <c r="D828" s="1"/>
      <c r="E828" s="1"/>
      <c r="F828" s="1"/>
      <c r="G828" s="1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3.2" x14ac:dyDescent="0.25">
      <c r="A829" s="2"/>
      <c r="B829" s="137"/>
      <c r="C829" s="1"/>
      <c r="D829" s="1"/>
      <c r="E829" s="1"/>
      <c r="F829" s="1"/>
      <c r="G829" s="1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3.2" x14ac:dyDescent="0.25">
      <c r="A830" s="2"/>
      <c r="B830" s="137"/>
      <c r="C830" s="1"/>
      <c r="D830" s="1"/>
      <c r="E830" s="1"/>
      <c r="F830" s="1"/>
      <c r="G830" s="1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3.2" x14ac:dyDescent="0.25">
      <c r="A831" s="2"/>
      <c r="B831" s="137"/>
      <c r="C831" s="1"/>
      <c r="D831" s="1"/>
      <c r="E831" s="1"/>
      <c r="F831" s="1"/>
      <c r="G831" s="1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3.2" x14ac:dyDescent="0.25">
      <c r="A832" s="2"/>
      <c r="B832" s="137"/>
      <c r="C832" s="1"/>
      <c r="D832" s="1"/>
      <c r="E832" s="1"/>
      <c r="F832" s="1"/>
      <c r="G832" s="1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3.2" x14ac:dyDescent="0.25">
      <c r="A833" s="2"/>
      <c r="B833" s="137"/>
      <c r="C833" s="1"/>
      <c r="D833" s="1"/>
      <c r="E833" s="1"/>
      <c r="F833" s="1"/>
      <c r="G833" s="1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3.2" x14ac:dyDescent="0.25">
      <c r="A834" s="2"/>
      <c r="B834" s="137"/>
      <c r="C834" s="1"/>
      <c r="D834" s="1"/>
      <c r="E834" s="1"/>
      <c r="F834" s="1"/>
      <c r="G834" s="1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3.2" x14ac:dyDescent="0.25">
      <c r="A835" s="2"/>
      <c r="B835" s="137"/>
      <c r="C835" s="1"/>
      <c r="D835" s="1"/>
      <c r="E835" s="1"/>
      <c r="F835" s="1"/>
      <c r="G835" s="1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3.2" x14ac:dyDescent="0.25">
      <c r="A836" s="2"/>
      <c r="B836" s="137"/>
      <c r="C836" s="1"/>
      <c r="D836" s="1"/>
      <c r="E836" s="1"/>
      <c r="F836" s="1"/>
      <c r="G836" s="1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3.2" x14ac:dyDescent="0.25">
      <c r="A837" s="2"/>
      <c r="B837" s="137"/>
      <c r="C837" s="1"/>
      <c r="D837" s="1"/>
      <c r="E837" s="1"/>
      <c r="F837" s="1"/>
      <c r="G837" s="1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3.2" x14ac:dyDescent="0.25">
      <c r="A838" s="2"/>
      <c r="B838" s="137"/>
      <c r="C838" s="1"/>
      <c r="D838" s="1"/>
      <c r="E838" s="1"/>
      <c r="F838" s="1"/>
      <c r="G838" s="1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3.2" x14ac:dyDescent="0.25">
      <c r="A839" s="2"/>
      <c r="B839" s="137"/>
      <c r="C839" s="1"/>
      <c r="D839" s="1"/>
      <c r="E839" s="1"/>
      <c r="F839" s="1"/>
      <c r="G839" s="1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3.2" x14ac:dyDescent="0.25">
      <c r="A840" s="2"/>
      <c r="B840" s="137"/>
      <c r="C840" s="1"/>
      <c r="D840" s="1"/>
      <c r="E840" s="1"/>
      <c r="F840" s="1"/>
      <c r="G840" s="1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3.2" x14ac:dyDescent="0.25">
      <c r="A841" s="2"/>
      <c r="B841" s="137"/>
      <c r="C841" s="1"/>
      <c r="D841" s="1"/>
      <c r="E841" s="1"/>
      <c r="F841" s="1"/>
      <c r="G841" s="1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3.2" x14ac:dyDescent="0.25">
      <c r="A842" s="2"/>
      <c r="B842" s="137"/>
      <c r="C842" s="1"/>
      <c r="D842" s="1"/>
      <c r="E842" s="1"/>
      <c r="F842" s="1"/>
      <c r="G842" s="1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3.2" x14ac:dyDescent="0.25">
      <c r="A843" s="2"/>
      <c r="B843" s="137"/>
      <c r="C843" s="1"/>
      <c r="D843" s="1"/>
      <c r="E843" s="1"/>
      <c r="F843" s="1"/>
      <c r="G843" s="1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3.2" x14ac:dyDescent="0.25">
      <c r="A844" s="2"/>
      <c r="B844" s="137"/>
      <c r="C844" s="1"/>
      <c r="D844" s="1"/>
      <c r="E844" s="1"/>
      <c r="F844" s="1"/>
      <c r="G844" s="1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3.2" x14ac:dyDescent="0.25">
      <c r="A845" s="2"/>
      <c r="B845" s="137"/>
      <c r="C845" s="1"/>
      <c r="D845" s="1"/>
      <c r="E845" s="1"/>
      <c r="F845" s="1"/>
      <c r="G845" s="1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3.2" x14ac:dyDescent="0.25">
      <c r="A846" s="2"/>
      <c r="B846" s="137"/>
      <c r="C846" s="1"/>
      <c r="D846" s="1"/>
      <c r="E846" s="1"/>
      <c r="F846" s="1"/>
      <c r="G846" s="1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3.2" x14ac:dyDescent="0.25">
      <c r="A847" s="2"/>
      <c r="B847" s="137"/>
      <c r="C847" s="1"/>
      <c r="D847" s="1"/>
      <c r="E847" s="1"/>
      <c r="F847" s="1"/>
      <c r="G847" s="1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3.2" x14ac:dyDescent="0.25">
      <c r="A848" s="2"/>
      <c r="B848" s="137"/>
      <c r="C848" s="1"/>
      <c r="D848" s="1"/>
      <c r="E848" s="1"/>
      <c r="F848" s="1"/>
      <c r="G848" s="1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3.2" x14ac:dyDescent="0.25">
      <c r="A849" s="2"/>
      <c r="B849" s="137"/>
      <c r="C849" s="1"/>
      <c r="D849" s="1"/>
      <c r="E849" s="1"/>
      <c r="F849" s="1"/>
      <c r="G849" s="1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3.2" x14ac:dyDescent="0.25">
      <c r="A850" s="2"/>
      <c r="B850" s="137"/>
      <c r="C850" s="1"/>
      <c r="D850" s="1"/>
      <c r="E850" s="1"/>
      <c r="F850" s="1"/>
      <c r="G850" s="1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3.2" x14ac:dyDescent="0.25">
      <c r="A851" s="2"/>
      <c r="B851" s="137"/>
      <c r="C851" s="1"/>
      <c r="D851" s="1"/>
      <c r="E851" s="1"/>
      <c r="F851" s="1"/>
      <c r="G851" s="1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3.2" x14ac:dyDescent="0.25">
      <c r="A852" s="2"/>
      <c r="B852" s="137"/>
      <c r="C852" s="1"/>
      <c r="D852" s="1"/>
      <c r="E852" s="1"/>
      <c r="F852" s="1"/>
      <c r="G852" s="1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3.2" x14ac:dyDescent="0.25">
      <c r="A853" s="2"/>
      <c r="B853" s="137"/>
      <c r="C853" s="1"/>
      <c r="D853" s="1"/>
      <c r="E853" s="1"/>
      <c r="F853" s="1"/>
      <c r="G853" s="1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3.2" x14ac:dyDescent="0.25">
      <c r="A854" s="2"/>
      <c r="B854" s="137"/>
      <c r="C854" s="1"/>
      <c r="D854" s="1"/>
      <c r="E854" s="1"/>
      <c r="F854" s="1"/>
      <c r="G854" s="1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3.2" x14ac:dyDescent="0.25">
      <c r="A855" s="2"/>
      <c r="B855" s="137"/>
      <c r="C855" s="1"/>
      <c r="D855" s="1"/>
      <c r="E855" s="1"/>
      <c r="F855" s="1"/>
      <c r="G855" s="1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3.2" x14ac:dyDescent="0.25">
      <c r="A856" s="2"/>
      <c r="B856" s="137"/>
      <c r="C856" s="1"/>
      <c r="D856" s="1"/>
      <c r="E856" s="1"/>
      <c r="F856" s="1"/>
      <c r="G856" s="1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3.2" x14ac:dyDescent="0.25">
      <c r="A857" s="2"/>
      <c r="B857" s="137"/>
      <c r="C857" s="1"/>
      <c r="D857" s="1"/>
      <c r="E857" s="1"/>
      <c r="F857" s="1"/>
      <c r="G857" s="1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3.2" x14ac:dyDescent="0.25">
      <c r="A858" s="2"/>
      <c r="B858" s="137"/>
      <c r="C858" s="1"/>
      <c r="D858" s="1"/>
      <c r="E858" s="1"/>
      <c r="F858" s="1"/>
      <c r="G858" s="1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3.2" x14ac:dyDescent="0.25">
      <c r="A859" s="2"/>
      <c r="B859" s="137"/>
      <c r="C859" s="1"/>
      <c r="D859" s="1"/>
      <c r="E859" s="1"/>
      <c r="F859" s="1"/>
      <c r="G859" s="1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3.2" x14ac:dyDescent="0.25">
      <c r="A860" s="2"/>
      <c r="B860" s="137"/>
      <c r="C860" s="1"/>
      <c r="D860" s="1"/>
      <c r="E860" s="1"/>
      <c r="F860" s="1"/>
      <c r="G860" s="1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3.2" x14ac:dyDescent="0.25">
      <c r="A861" s="2"/>
      <c r="B861" s="137"/>
      <c r="C861" s="1"/>
      <c r="D861" s="1"/>
      <c r="E861" s="1"/>
      <c r="F861" s="1"/>
      <c r="G861" s="1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3.2" x14ac:dyDescent="0.25">
      <c r="A862" s="2"/>
      <c r="B862" s="137"/>
      <c r="C862" s="1"/>
      <c r="D862" s="1"/>
      <c r="E862" s="1"/>
      <c r="F862" s="1"/>
      <c r="G862" s="1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3.2" x14ac:dyDescent="0.25">
      <c r="A863" s="2"/>
      <c r="B863" s="137"/>
      <c r="C863" s="1"/>
      <c r="D863" s="1"/>
      <c r="E863" s="1"/>
      <c r="F863" s="1"/>
      <c r="G863" s="1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3.2" x14ac:dyDescent="0.25">
      <c r="A864" s="2"/>
      <c r="B864" s="137"/>
      <c r="C864" s="1"/>
      <c r="D864" s="1"/>
      <c r="E864" s="1"/>
      <c r="F864" s="1"/>
      <c r="G864" s="1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3.2" x14ac:dyDescent="0.25">
      <c r="A865" s="2"/>
      <c r="B865" s="137"/>
      <c r="C865" s="1"/>
      <c r="D865" s="1"/>
      <c r="E865" s="1"/>
      <c r="F865" s="1"/>
      <c r="G865" s="1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3.2" x14ac:dyDescent="0.25">
      <c r="A866" s="2"/>
      <c r="B866" s="137"/>
      <c r="C866" s="1"/>
      <c r="D866" s="1"/>
      <c r="E866" s="1"/>
      <c r="F866" s="1"/>
      <c r="G866" s="1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3.2" x14ac:dyDescent="0.25">
      <c r="A867" s="2"/>
      <c r="B867" s="137"/>
      <c r="C867" s="1"/>
      <c r="D867" s="1"/>
      <c r="E867" s="1"/>
      <c r="F867" s="1"/>
      <c r="G867" s="1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3.2" x14ac:dyDescent="0.25">
      <c r="A868" s="2"/>
      <c r="B868" s="137"/>
      <c r="C868" s="1"/>
      <c r="D868" s="1"/>
      <c r="E868" s="1"/>
      <c r="F868" s="1"/>
      <c r="G868" s="1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3.2" x14ac:dyDescent="0.25">
      <c r="A869" s="2"/>
      <c r="B869" s="137"/>
      <c r="C869" s="1"/>
      <c r="D869" s="1"/>
      <c r="E869" s="1"/>
      <c r="F869" s="1"/>
      <c r="G869" s="1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3.2" x14ac:dyDescent="0.25">
      <c r="A870" s="2"/>
      <c r="B870" s="137"/>
      <c r="C870" s="1"/>
      <c r="D870" s="1"/>
      <c r="E870" s="1"/>
      <c r="F870" s="1"/>
      <c r="G870" s="1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3.2" x14ac:dyDescent="0.25">
      <c r="A871" s="2"/>
      <c r="B871" s="137"/>
      <c r="C871" s="1"/>
      <c r="D871" s="1"/>
      <c r="E871" s="1"/>
      <c r="F871" s="1"/>
      <c r="G871" s="1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3.2" x14ac:dyDescent="0.25">
      <c r="A872" s="2"/>
      <c r="B872" s="137"/>
      <c r="C872" s="1"/>
      <c r="D872" s="1"/>
      <c r="E872" s="1"/>
      <c r="F872" s="1"/>
      <c r="G872" s="1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3.2" x14ac:dyDescent="0.25">
      <c r="A873" s="2"/>
      <c r="B873" s="137"/>
      <c r="C873" s="1"/>
      <c r="D873" s="1"/>
      <c r="E873" s="1"/>
      <c r="F873" s="1"/>
      <c r="G873" s="1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3.2" x14ac:dyDescent="0.25">
      <c r="A874" s="2"/>
      <c r="B874" s="137"/>
      <c r="C874" s="1"/>
      <c r="D874" s="1"/>
      <c r="E874" s="1"/>
      <c r="F874" s="1"/>
      <c r="G874" s="1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3.2" x14ac:dyDescent="0.25">
      <c r="A875" s="2"/>
      <c r="B875" s="137"/>
      <c r="C875" s="1"/>
      <c r="D875" s="1"/>
      <c r="E875" s="1"/>
      <c r="F875" s="1"/>
      <c r="G875" s="1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3.2" x14ac:dyDescent="0.25">
      <c r="A876" s="2"/>
      <c r="B876" s="137"/>
      <c r="C876" s="1"/>
      <c r="D876" s="1"/>
      <c r="E876" s="1"/>
      <c r="F876" s="1"/>
      <c r="G876" s="1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3.2" x14ac:dyDescent="0.25">
      <c r="A877" s="2"/>
      <c r="B877" s="137"/>
      <c r="C877" s="1"/>
      <c r="D877" s="1"/>
      <c r="E877" s="1"/>
      <c r="F877" s="1"/>
      <c r="G877" s="1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3.2" x14ac:dyDescent="0.25">
      <c r="A878" s="2"/>
      <c r="B878" s="137"/>
      <c r="C878" s="1"/>
      <c r="D878" s="1"/>
      <c r="E878" s="1"/>
      <c r="F878" s="1"/>
      <c r="G878" s="1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3.2" x14ac:dyDescent="0.25">
      <c r="A879" s="2"/>
      <c r="B879" s="137"/>
      <c r="C879" s="1"/>
      <c r="D879" s="1"/>
      <c r="E879" s="1"/>
      <c r="F879" s="1"/>
      <c r="G879" s="1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3.2" x14ac:dyDescent="0.25">
      <c r="A880" s="2"/>
      <c r="B880" s="137"/>
      <c r="C880" s="1"/>
      <c r="D880" s="1"/>
      <c r="E880" s="1"/>
      <c r="F880" s="1"/>
      <c r="G880" s="1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3.2" x14ac:dyDescent="0.25">
      <c r="A881" s="2"/>
      <c r="B881" s="137"/>
      <c r="C881" s="1"/>
      <c r="D881" s="1"/>
      <c r="E881" s="1"/>
      <c r="F881" s="1"/>
      <c r="G881" s="1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3.2" x14ac:dyDescent="0.25">
      <c r="A882" s="2"/>
      <c r="B882" s="137"/>
      <c r="C882" s="1"/>
      <c r="D882" s="1"/>
      <c r="E882" s="1"/>
      <c r="F882" s="1"/>
      <c r="G882" s="1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3.2" x14ac:dyDescent="0.25">
      <c r="A883" s="2"/>
      <c r="B883" s="137"/>
      <c r="C883" s="1"/>
      <c r="D883" s="1"/>
      <c r="E883" s="1"/>
      <c r="F883" s="1"/>
      <c r="G883" s="1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3.2" x14ac:dyDescent="0.25">
      <c r="A884" s="2"/>
      <c r="B884" s="137"/>
      <c r="C884" s="1"/>
      <c r="D884" s="1"/>
      <c r="E884" s="1"/>
      <c r="F884" s="1"/>
      <c r="G884" s="1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3.2" x14ac:dyDescent="0.25">
      <c r="A885" s="2"/>
      <c r="B885" s="137"/>
      <c r="C885" s="1"/>
      <c r="D885" s="1"/>
      <c r="E885" s="1"/>
      <c r="F885" s="1"/>
      <c r="G885" s="1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3.2" x14ac:dyDescent="0.25">
      <c r="A886" s="2"/>
      <c r="B886" s="137"/>
      <c r="C886" s="1"/>
      <c r="D886" s="1"/>
      <c r="E886" s="1"/>
      <c r="F886" s="1"/>
      <c r="G886" s="1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3.2" x14ac:dyDescent="0.25">
      <c r="A887" s="2"/>
      <c r="B887" s="137"/>
      <c r="C887" s="1"/>
      <c r="D887" s="1"/>
      <c r="E887" s="1"/>
      <c r="F887" s="1"/>
      <c r="G887" s="1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3.2" x14ac:dyDescent="0.25">
      <c r="A888" s="2"/>
      <c r="B888" s="137"/>
      <c r="C888" s="1"/>
      <c r="D888" s="1"/>
      <c r="E888" s="1"/>
      <c r="F888" s="1"/>
      <c r="G888" s="1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3.2" x14ac:dyDescent="0.25">
      <c r="A889" s="2"/>
      <c r="B889" s="137"/>
      <c r="C889" s="1"/>
      <c r="D889" s="1"/>
      <c r="E889" s="1"/>
      <c r="F889" s="1"/>
      <c r="G889" s="1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3.2" x14ac:dyDescent="0.25">
      <c r="A890" s="2"/>
      <c r="B890" s="137"/>
      <c r="C890" s="1"/>
      <c r="D890" s="1"/>
      <c r="E890" s="1"/>
      <c r="F890" s="1"/>
      <c r="G890" s="1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3.2" x14ac:dyDescent="0.25">
      <c r="A891" s="2"/>
      <c r="B891" s="137"/>
      <c r="C891" s="1"/>
      <c r="D891" s="1"/>
      <c r="E891" s="1"/>
      <c r="F891" s="1"/>
      <c r="G891" s="1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3.2" x14ac:dyDescent="0.25">
      <c r="A892" s="2"/>
      <c r="B892" s="137"/>
      <c r="C892" s="1"/>
      <c r="D892" s="1"/>
      <c r="E892" s="1"/>
      <c r="F892" s="1"/>
      <c r="G892" s="1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3.2" x14ac:dyDescent="0.25">
      <c r="A893" s="2"/>
      <c r="B893" s="137"/>
      <c r="C893" s="1"/>
      <c r="D893" s="1"/>
      <c r="E893" s="1"/>
      <c r="F893" s="1"/>
      <c r="G893" s="1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3.2" x14ac:dyDescent="0.25">
      <c r="A894" s="2"/>
      <c r="B894" s="137"/>
      <c r="C894" s="1"/>
      <c r="D894" s="1"/>
      <c r="E894" s="1"/>
      <c r="F894" s="1"/>
      <c r="G894" s="1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3.2" x14ac:dyDescent="0.25">
      <c r="A895" s="2"/>
      <c r="B895" s="137"/>
      <c r="C895" s="1"/>
      <c r="D895" s="1"/>
      <c r="E895" s="1"/>
      <c r="F895" s="1"/>
      <c r="G895" s="1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3.2" x14ac:dyDescent="0.25">
      <c r="A896" s="2"/>
      <c r="B896" s="137"/>
      <c r="C896" s="1"/>
      <c r="D896" s="1"/>
      <c r="E896" s="1"/>
      <c r="F896" s="1"/>
      <c r="G896" s="1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3.2" x14ac:dyDescent="0.25">
      <c r="A897" s="2"/>
      <c r="B897" s="137"/>
      <c r="C897" s="1"/>
      <c r="D897" s="1"/>
      <c r="E897" s="1"/>
      <c r="F897" s="1"/>
      <c r="G897" s="1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3.2" x14ac:dyDescent="0.25">
      <c r="A898" s="2"/>
      <c r="B898" s="137"/>
      <c r="C898" s="1"/>
      <c r="D898" s="1"/>
      <c r="E898" s="1"/>
      <c r="F898" s="1"/>
      <c r="G898" s="1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3.2" x14ac:dyDescent="0.25">
      <c r="A899" s="2"/>
      <c r="B899" s="137"/>
      <c r="C899" s="1"/>
      <c r="D899" s="1"/>
      <c r="E899" s="1"/>
      <c r="F899" s="1"/>
      <c r="G899" s="1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3.2" x14ac:dyDescent="0.25">
      <c r="A900" s="2"/>
      <c r="B900" s="137"/>
      <c r="C900" s="1"/>
      <c r="D900" s="1"/>
      <c r="E900" s="1"/>
      <c r="F900" s="1"/>
      <c r="G900" s="1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3.2" x14ac:dyDescent="0.25">
      <c r="A901" s="2"/>
      <c r="B901" s="137"/>
      <c r="C901" s="1"/>
      <c r="D901" s="1"/>
      <c r="E901" s="1"/>
      <c r="F901" s="1"/>
      <c r="G901" s="1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3.2" x14ac:dyDescent="0.25">
      <c r="A902" s="2"/>
      <c r="B902" s="137"/>
      <c r="C902" s="1"/>
      <c r="D902" s="1"/>
      <c r="E902" s="1"/>
      <c r="F902" s="1"/>
      <c r="G902" s="1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3.2" x14ac:dyDescent="0.25">
      <c r="A903" s="2"/>
      <c r="B903" s="137"/>
      <c r="C903" s="1"/>
      <c r="D903" s="1"/>
      <c r="E903" s="1"/>
      <c r="F903" s="1"/>
      <c r="G903" s="1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3.2" x14ac:dyDescent="0.25">
      <c r="A904" s="2"/>
      <c r="B904" s="137"/>
      <c r="C904" s="1"/>
      <c r="D904" s="1"/>
      <c r="E904" s="1"/>
      <c r="F904" s="1"/>
      <c r="G904" s="1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3.2" x14ac:dyDescent="0.25">
      <c r="A905" s="2"/>
      <c r="B905" s="137"/>
      <c r="C905" s="1"/>
      <c r="D905" s="1"/>
      <c r="E905" s="1"/>
      <c r="F905" s="1"/>
      <c r="G905" s="1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3.2" x14ac:dyDescent="0.25">
      <c r="A906" s="2"/>
      <c r="B906" s="137"/>
      <c r="C906" s="1"/>
      <c r="D906" s="1"/>
      <c r="E906" s="1"/>
      <c r="F906" s="1"/>
      <c r="G906" s="1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3.2" x14ac:dyDescent="0.25">
      <c r="A907" s="2"/>
      <c r="B907" s="137"/>
      <c r="C907" s="1"/>
      <c r="D907" s="1"/>
      <c r="E907" s="1"/>
      <c r="F907" s="1"/>
      <c r="G907" s="1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3.2" x14ac:dyDescent="0.25">
      <c r="A908" s="2"/>
      <c r="B908" s="137"/>
      <c r="C908" s="1"/>
      <c r="D908" s="1"/>
      <c r="E908" s="1"/>
      <c r="F908" s="1"/>
      <c r="G908" s="1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3.2" x14ac:dyDescent="0.25">
      <c r="A909" s="2"/>
      <c r="B909" s="137"/>
      <c r="C909" s="1"/>
      <c r="D909" s="1"/>
      <c r="E909" s="1"/>
      <c r="F909" s="1"/>
      <c r="G909" s="1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3.2" x14ac:dyDescent="0.25">
      <c r="A910" s="2"/>
      <c r="B910" s="137"/>
      <c r="C910" s="1"/>
      <c r="D910" s="1"/>
      <c r="E910" s="1"/>
      <c r="F910" s="1"/>
      <c r="G910" s="1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3.2" x14ac:dyDescent="0.25">
      <c r="A911" s="2"/>
      <c r="B911" s="137"/>
      <c r="C911" s="1"/>
      <c r="D911" s="1"/>
      <c r="E911" s="1"/>
      <c r="F911" s="1"/>
      <c r="G911" s="1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3.2" x14ac:dyDescent="0.25">
      <c r="A912" s="2"/>
      <c r="B912" s="137"/>
      <c r="C912" s="1"/>
      <c r="D912" s="1"/>
      <c r="E912" s="1"/>
      <c r="F912" s="1"/>
      <c r="G912" s="1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3.2" x14ac:dyDescent="0.25">
      <c r="A913" s="2"/>
      <c r="B913" s="137"/>
      <c r="C913" s="1"/>
      <c r="D913" s="1"/>
      <c r="E913" s="1"/>
      <c r="F913" s="1"/>
      <c r="G913" s="1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3.2" x14ac:dyDescent="0.25">
      <c r="A914" s="2"/>
      <c r="B914" s="137"/>
      <c r="C914" s="1"/>
      <c r="D914" s="1"/>
      <c r="E914" s="1"/>
      <c r="F914" s="1"/>
      <c r="G914" s="1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3.2" x14ac:dyDescent="0.25">
      <c r="A915" s="2"/>
      <c r="B915" s="137"/>
      <c r="C915" s="1"/>
      <c r="D915" s="1"/>
      <c r="E915" s="1"/>
      <c r="F915" s="1"/>
      <c r="G915" s="1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3.2" x14ac:dyDescent="0.25">
      <c r="A916" s="2"/>
      <c r="B916" s="137"/>
      <c r="C916" s="1"/>
      <c r="D916" s="1"/>
      <c r="E916" s="1"/>
      <c r="F916" s="1"/>
      <c r="G916" s="1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3.2" x14ac:dyDescent="0.25">
      <c r="A917" s="2"/>
      <c r="B917" s="137"/>
      <c r="C917" s="1"/>
      <c r="D917" s="1"/>
      <c r="E917" s="1"/>
      <c r="F917" s="1"/>
      <c r="G917" s="1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3.2" x14ac:dyDescent="0.25">
      <c r="A918" s="2"/>
      <c r="B918" s="137"/>
      <c r="C918" s="1"/>
      <c r="D918" s="1"/>
      <c r="E918" s="1"/>
      <c r="F918" s="1"/>
      <c r="G918" s="1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3.2" x14ac:dyDescent="0.25">
      <c r="A919" s="2"/>
      <c r="B919" s="137"/>
      <c r="C919" s="1"/>
      <c r="D919" s="1"/>
      <c r="E919" s="1"/>
      <c r="F919" s="1"/>
      <c r="G919" s="1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3.2" x14ac:dyDescent="0.25">
      <c r="A920" s="2"/>
      <c r="B920" s="137"/>
      <c r="C920" s="1"/>
      <c r="D920" s="1"/>
      <c r="E920" s="1"/>
      <c r="F920" s="1"/>
      <c r="G920" s="1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3.2" x14ac:dyDescent="0.25">
      <c r="A921" s="2"/>
      <c r="B921" s="137"/>
      <c r="C921" s="1"/>
      <c r="D921" s="1"/>
      <c r="E921" s="1"/>
      <c r="F921" s="1"/>
      <c r="G921" s="1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3.2" x14ac:dyDescent="0.25">
      <c r="A922" s="2"/>
      <c r="B922" s="137"/>
      <c r="C922" s="1"/>
      <c r="D922" s="1"/>
      <c r="E922" s="1"/>
      <c r="F922" s="1"/>
      <c r="G922" s="1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3.2" x14ac:dyDescent="0.25">
      <c r="A923" s="2"/>
      <c r="B923" s="137"/>
      <c r="C923" s="1"/>
      <c r="D923" s="1"/>
      <c r="E923" s="1"/>
      <c r="F923" s="1"/>
      <c r="G923" s="1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3.2" x14ac:dyDescent="0.25">
      <c r="A924" s="2"/>
      <c r="B924" s="137"/>
      <c r="C924" s="1"/>
      <c r="D924" s="1"/>
      <c r="E924" s="1"/>
      <c r="F924" s="1"/>
      <c r="G924" s="1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3.2" x14ac:dyDescent="0.25">
      <c r="A925" s="2"/>
      <c r="B925" s="137"/>
      <c r="C925" s="1"/>
      <c r="D925" s="1"/>
      <c r="E925" s="1"/>
      <c r="F925" s="1"/>
      <c r="G925" s="1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3.2" x14ac:dyDescent="0.25">
      <c r="A926" s="2"/>
      <c r="B926" s="137"/>
      <c r="C926" s="1"/>
      <c r="D926" s="1"/>
      <c r="E926" s="1"/>
      <c r="F926" s="1"/>
      <c r="G926" s="1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3.2" x14ac:dyDescent="0.25">
      <c r="A927" s="2"/>
      <c r="B927" s="137"/>
      <c r="C927" s="1"/>
      <c r="D927" s="1"/>
      <c r="E927" s="1"/>
      <c r="F927" s="1"/>
      <c r="G927" s="1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3.2" x14ac:dyDescent="0.25">
      <c r="A928" s="2"/>
      <c r="B928" s="137"/>
      <c r="C928" s="1"/>
      <c r="D928" s="1"/>
      <c r="E928" s="1"/>
      <c r="F928" s="1"/>
      <c r="G928" s="1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3.2" x14ac:dyDescent="0.25">
      <c r="A929" s="2"/>
      <c r="B929" s="137"/>
      <c r="C929" s="1"/>
      <c r="D929" s="1"/>
      <c r="E929" s="1"/>
      <c r="F929" s="1"/>
      <c r="G929" s="1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3.2" x14ac:dyDescent="0.25">
      <c r="A930" s="2"/>
      <c r="B930" s="137"/>
      <c r="C930" s="1"/>
      <c r="D930" s="1"/>
      <c r="E930" s="1"/>
      <c r="F930" s="1"/>
      <c r="G930" s="1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3.2" x14ac:dyDescent="0.25">
      <c r="A931" s="2"/>
      <c r="B931" s="137"/>
      <c r="C931" s="1"/>
      <c r="D931" s="1"/>
      <c r="E931" s="1"/>
      <c r="F931" s="1"/>
      <c r="G931" s="1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3.2" x14ac:dyDescent="0.25">
      <c r="A932" s="2"/>
      <c r="B932" s="137"/>
      <c r="C932" s="1"/>
      <c r="D932" s="1"/>
      <c r="E932" s="1"/>
      <c r="F932" s="1"/>
      <c r="G932" s="1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3.2" x14ac:dyDescent="0.25">
      <c r="A933" s="2"/>
      <c r="B933" s="137"/>
      <c r="C933" s="1"/>
      <c r="D933" s="1"/>
      <c r="E933" s="1"/>
      <c r="F933" s="1"/>
      <c r="G933" s="1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3.2" x14ac:dyDescent="0.25">
      <c r="A934" s="2"/>
      <c r="B934" s="137"/>
      <c r="C934" s="1"/>
      <c r="D934" s="1"/>
      <c r="E934" s="1"/>
      <c r="F934" s="1"/>
      <c r="G934" s="1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3.2" x14ac:dyDescent="0.25">
      <c r="A935" s="2"/>
      <c r="B935" s="137"/>
      <c r="C935" s="1"/>
      <c r="D935" s="1"/>
      <c r="E935" s="1"/>
      <c r="F935" s="1"/>
      <c r="G935" s="1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3.2" x14ac:dyDescent="0.25">
      <c r="A936" s="2"/>
      <c r="B936" s="137"/>
      <c r="C936" s="1"/>
      <c r="D936" s="1"/>
      <c r="E936" s="1"/>
      <c r="F936" s="1"/>
      <c r="G936" s="1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3.2" x14ac:dyDescent="0.25">
      <c r="A937" s="2"/>
      <c r="B937" s="137"/>
      <c r="C937" s="1"/>
      <c r="D937" s="1"/>
      <c r="E937" s="1"/>
      <c r="F937" s="1"/>
      <c r="G937" s="1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3.2" x14ac:dyDescent="0.25">
      <c r="A938" s="2"/>
      <c r="B938" s="137"/>
      <c r="C938" s="1"/>
      <c r="D938" s="1"/>
      <c r="E938" s="1"/>
      <c r="F938" s="1"/>
      <c r="G938" s="1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3.2" x14ac:dyDescent="0.25">
      <c r="A939" s="2"/>
      <c r="B939" s="137"/>
      <c r="C939" s="1"/>
      <c r="D939" s="1"/>
      <c r="E939" s="1"/>
      <c r="F939" s="1"/>
      <c r="G939" s="1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3.2" x14ac:dyDescent="0.25">
      <c r="A940" s="2"/>
      <c r="B940" s="137"/>
      <c r="C940" s="1"/>
      <c r="D940" s="1"/>
      <c r="E940" s="1"/>
      <c r="F940" s="1"/>
      <c r="G940" s="1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3.2" x14ac:dyDescent="0.25">
      <c r="A941" s="2"/>
      <c r="B941" s="137"/>
      <c r="C941" s="1"/>
      <c r="D941" s="1"/>
      <c r="E941" s="1"/>
      <c r="F941" s="1"/>
      <c r="G941" s="1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3.2" x14ac:dyDescent="0.25">
      <c r="A942" s="2"/>
      <c r="B942" s="137"/>
      <c r="C942" s="1"/>
      <c r="D942" s="1"/>
      <c r="E942" s="1"/>
      <c r="F942" s="1"/>
      <c r="G942" s="1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3.2" x14ac:dyDescent="0.25">
      <c r="A943" s="2"/>
      <c r="B943" s="137"/>
      <c r="C943" s="1"/>
      <c r="D943" s="1"/>
      <c r="E943" s="1"/>
      <c r="F943" s="1"/>
      <c r="G943" s="1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3.2" x14ac:dyDescent="0.25">
      <c r="A944" s="2"/>
      <c r="B944" s="137"/>
      <c r="C944" s="1"/>
      <c r="D944" s="1"/>
      <c r="E944" s="1"/>
      <c r="F944" s="1"/>
      <c r="G944" s="1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3.2" x14ac:dyDescent="0.25">
      <c r="A945" s="2"/>
      <c r="B945" s="137"/>
      <c r="C945" s="1"/>
      <c r="D945" s="1"/>
      <c r="E945" s="1"/>
      <c r="F945" s="1"/>
      <c r="G945" s="1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3.2" x14ac:dyDescent="0.25">
      <c r="A946" s="2"/>
      <c r="B946" s="137"/>
      <c r="C946" s="1"/>
      <c r="D946" s="1"/>
      <c r="E946" s="1"/>
      <c r="F946" s="1"/>
      <c r="G946" s="1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3.2" x14ac:dyDescent="0.25">
      <c r="A947" s="2"/>
      <c r="B947" s="137"/>
      <c r="C947" s="1"/>
      <c r="D947" s="1"/>
      <c r="E947" s="1"/>
      <c r="F947" s="1"/>
      <c r="G947" s="1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3.2" x14ac:dyDescent="0.25">
      <c r="A948" s="2"/>
      <c r="B948" s="137"/>
      <c r="C948" s="1"/>
      <c r="D948" s="1"/>
      <c r="E948" s="1"/>
      <c r="F948" s="1"/>
      <c r="G948" s="1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3.2" x14ac:dyDescent="0.25">
      <c r="A949" s="2"/>
      <c r="B949" s="137"/>
      <c r="C949" s="1"/>
      <c r="D949" s="1"/>
      <c r="E949" s="1"/>
      <c r="F949" s="1"/>
      <c r="G949" s="1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3.2" x14ac:dyDescent="0.25">
      <c r="A950" s="2"/>
      <c r="B950" s="137"/>
      <c r="C950" s="1"/>
      <c r="D950" s="1"/>
      <c r="E950" s="1"/>
      <c r="F950" s="1"/>
      <c r="G950" s="1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3.2" x14ac:dyDescent="0.25">
      <c r="A951" s="2"/>
      <c r="B951" s="137"/>
      <c r="C951" s="1"/>
      <c r="D951" s="1"/>
      <c r="E951" s="1"/>
      <c r="F951" s="1"/>
      <c r="G951" s="1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3.2" x14ac:dyDescent="0.25">
      <c r="A952" s="2"/>
      <c r="B952" s="137"/>
      <c r="C952" s="1"/>
      <c r="D952" s="1"/>
      <c r="E952" s="1"/>
      <c r="F952" s="1"/>
      <c r="G952" s="1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3.2" x14ac:dyDescent="0.25">
      <c r="A953" s="2"/>
      <c r="B953" s="137"/>
      <c r="C953" s="1"/>
      <c r="D953" s="1"/>
      <c r="E953" s="1"/>
      <c r="F953" s="1"/>
      <c r="G953" s="1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3.2" x14ac:dyDescent="0.25">
      <c r="A954" s="2"/>
      <c r="B954" s="137"/>
      <c r="C954" s="1"/>
      <c r="D954" s="1"/>
      <c r="E954" s="1"/>
      <c r="F954" s="1"/>
      <c r="G954" s="1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3.2" x14ac:dyDescent="0.25">
      <c r="A955" s="2"/>
      <c r="B955" s="137"/>
      <c r="C955" s="1"/>
      <c r="D955" s="1"/>
      <c r="E955" s="1"/>
      <c r="F955" s="1"/>
      <c r="G955" s="1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3.2" x14ac:dyDescent="0.25">
      <c r="A956" s="2"/>
      <c r="B956" s="137"/>
      <c r="C956" s="1"/>
      <c r="D956" s="1"/>
      <c r="E956" s="1"/>
      <c r="F956" s="1"/>
      <c r="G956" s="1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3.2" x14ac:dyDescent="0.25">
      <c r="A957" s="2"/>
      <c r="B957" s="137"/>
      <c r="C957" s="1"/>
      <c r="D957" s="1"/>
      <c r="E957" s="1"/>
      <c r="F957" s="1"/>
      <c r="G957" s="1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3.2" x14ac:dyDescent="0.25">
      <c r="A958" s="2"/>
      <c r="B958" s="137"/>
      <c r="C958" s="1"/>
      <c r="D958" s="1"/>
      <c r="E958" s="1"/>
      <c r="F958" s="1"/>
      <c r="G958" s="1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3.2" x14ac:dyDescent="0.25">
      <c r="A959" s="2"/>
      <c r="B959" s="137"/>
      <c r="C959" s="1"/>
      <c r="D959" s="1"/>
      <c r="E959" s="1"/>
      <c r="F959" s="1"/>
      <c r="G959" s="1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3.2" x14ac:dyDescent="0.25">
      <c r="A960" s="2"/>
      <c r="B960" s="137"/>
      <c r="C960" s="1"/>
      <c r="D960" s="1"/>
      <c r="E960" s="1"/>
      <c r="F960" s="1"/>
      <c r="G960" s="1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3.2" x14ac:dyDescent="0.25">
      <c r="A961" s="2"/>
      <c r="B961" s="137"/>
      <c r="C961" s="1"/>
      <c r="D961" s="1"/>
      <c r="E961" s="1"/>
      <c r="F961" s="1"/>
      <c r="G961" s="1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3.2" x14ac:dyDescent="0.25">
      <c r="A962" s="2"/>
      <c r="B962" s="137"/>
      <c r="C962" s="1"/>
      <c r="D962" s="1"/>
      <c r="E962" s="1"/>
      <c r="F962" s="1"/>
      <c r="G962" s="1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3.2" x14ac:dyDescent="0.25">
      <c r="A963" s="2"/>
      <c r="B963" s="137"/>
      <c r="C963" s="1"/>
      <c r="D963" s="1"/>
      <c r="E963" s="1"/>
      <c r="F963" s="1"/>
      <c r="G963" s="1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3.2" x14ac:dyDescent="0.25">
      <c r="A964" s="2"/>
      <c r="B964" s="137"/>
      <c r="C964" s="1"/>
      <c r="D964" s="1"/>
      <c r="E964" s="1"/>
      <c r="F964" s="1"/>
      <c r="G964" s="1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3.2" x14ac:dyDescent="0.25">
      <c r="A965" s="2"/>
      <c r="B965" s="137"/>
      <c r="C965" s="1"/>
      <c r="D965" s="1"/>
      <c r="E965" s="1"/>
      <c r="F965" s="1"/>
      <c r="G965" s="1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3.2" x14ac:dyDescent="0.25">
      <c r="A966" s="2"/>
      <c r="B966" s="137"/>
      <c r="C966" s="1"/>
      <c r="D966" s="1"/>
      <c r="E966" s="1"/>
      <c r="F966" s="1"/>
      <c r="G966" s="1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3.2" x14ac:dyDescent="0.25">
      <c r="A967" s="2"/>
      <c r="B967" s="137"/>
      <c r="C967" s="1"/>
      <c r="D967" s="1"/>
      <c r="E967" s="1"/>
      <c r="F967" s="1"/>
      <c r="G967" s="1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3.2" x14ac:dyDescent="0.25">
      <c r="A968" s="2"/>
      <c r="B968" s="137"/>
      <c r="C968" s="1"/>
      <c r="D968" s="1"/>
      <c r="E968" s="1"/>
      <c r="F968" s="1"/>
      <c r="G968" s="1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3.2" x14ac:dyDescent="0.25">
      <c r="A969" s="2"/>
      <c r="B969" s="137"/>
      <c r="C969" s="1"/>
      <c r="D969" s="1"/>
      <c r="E969" s="1"/>
      <c r="F969" s="1"/>
      <c r="G969" s="1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3.2" x14ac:dyDescent="0.25">
      <c r="A970" s="2"/>
      <c r="B970" s="137"/>
      <c r="C970" s="1"/>
      <c r="D970" s="1"/>
      <c r="E970" s="1"/>
      <c r="F970" s="1"/>
      <c r="G970" s="1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3.2" x14ac:dyDescent="0.25">
      <c r="A971" s="2"/>
      <c r="B971" s="137"/>
      <c r="C971" s="1"/>
      <c r="D971" s="1"/>
      <c r="E971" s="1"/>
      <c r="F971" s="1"/>
      <c r="G971" s="1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3.2" x14ac:dyDescent="0.25">
      <c r="A972" s="2"/>
      <c r="B972" s="137"/>
      <c r="C972" s="1"/>
      <c r="D972" s="1"/>
      <c r="E972" s="1"/>
      <c r="F972" s="1"/>
      <c r="G972" s="1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3.2" x14ac:dyDescent="0.25">
      <c r="A973" s="2"/>
      <c r="B973" s="137"/>
      <c r="C973" s="1"/>
      <c r="D973" s="1"/>
      <c r="E973" s="1"/>
      <c r="F973" s="1"/>
      <c r="G973" s="1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3.2" x14ac:dyDescent="0.25">
      <c r="A974" s="2"/>
      <c r="B974" s="137"/>
      <c r="C974" s="1"/>
      <c r="D974" s="1"/>
      <c r="E974" s="1"/>
      <c r="F974" s="1"/>
      <c r="G974" s="1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3.2" x14ac:dyDescent="0.25">
      <c r="A975" s="2"/>
      <c r="B975" s="137"/>
      <c r="C975" s="1"/>
      <c r="D975" s="1"/>
      <c r="E975" s="1"/>
      <c r="F975" s="1"/>
      <c r="G975" s="1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3.2" x14ac:dyDescent="0.25">
      <c r="A976" s="2"/>
      <c r="B976" s="137"/>
      <c r="C976" s="1"/>
      <c r="D976" s="1"/>
      <c r="E976" s="1"/>
      <c r="F976" s="1"/>
      <c r="G976" s="1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3.2" x14ac:dyDescent="0.25">
      <c r="A977" s="2"/>
      <c r="B977" s="137"/>
      <c r="C977" s="1"/>
      <c r="D977" s="1"/>
      <c r="E977" s="1"/>
      <c r="F977" s="1"/>
      <c r="G977" s="1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3.2" x14ac:dyDescent="0.25">
      <c r="A978" s="2"/>
      <c r="B978" s="137"/>
      <c r="C978" s="1"/>
      <c r="D978" s="1"/>
      <c r="E978" s="1"/>
      <c r="F978" s="1"/>
      <c r="G978" s="1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3.2" x14ac:dyDescent="0.25">
      <c r="A979" s="2"/>
      <c r="B979" s="137"/>
      <c r="C979" s="1"/>
      <c r="D979" s="1"/>
      <c r="E979" s="1"/>
      <c r="F979" s="1"/>
      <c r="G979" s="1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3.2" x14ac:dyDescent="0.25">
      <c r="A980" s="2"/>
      <c r="B980" s="137"/>
      <c r="C980" s="1"/>
      <c r="D980" s="1"/>
      <c r="E980" s="1"/>
      <c r="F980" s="1"/>
      <c r="G980" s="1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3.2" x14ac:dyDescent="0.25">
      <c r="A981" s="2"/>
      <c r="B981" s="137"/>
      <c r="C981" s="1"/>
      <c r="D981" s="1"/>
      <c r="E981" s="1"/>
      <c r="F981" s="1"/>
      <c r="G981" s="1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3.2" x14ac:dyDescent="0.25">
      <c r="A982" s="2"/>
      <c r="B982" s="137"/>
      <c r="C982" s="1"/>
      <c r="D982" s="1"/>
      <c r="E982" s="1"/>
      <c r="F982" s="1"/>
      <c r="G982" s="1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3.2" x14ac:dyDescent="0.25">
      <c r="A983" s="2"/>
      <c r="B983" s="137"/>
      <c r="C983" s="1"/>
      <c r="D983" s="1"/>
      <c r="E983" s="1"/>
      <c r="F983" s="1"/>
      <c r="G983" s="1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3.2" x14ac:dyDescent="0.25">
      <c r="A984" s="2"/>
      <c r="B984" s="137"/>
      <c r="C984" s="1"/>
      <c r="D984" s="1"/>
      <c r="E984" s="1"/>
      <c r="F984" s="1"/>
      <c r="G984" s="1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3.2" x14ac:dyDescent="0.25">
      <c r="A985" s="2"/>
      <c r="B985" s="137"/>
      <c r="C985" s="1"/>
      <c r="D985" s="1"/>
      <c r="E985" s="1"/>
      <c r="F985" s="1"/>
      <c r="G985" s="1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3.2" x14ac:dyDescent="0.25">
      <c r="A986" s="2"/>
      <c r="B986" s="137"/>
      <c r="C986" s="1"/>
      <c r="D986" s="1"/>
      <c r="E986" s="1"/>
      <c r="F986" s="1"/>
      <c r="G986" s="1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3.2" x14ac:dyDescent="0.25">
      <c r="A987" s="2"/>
      <c r="B987" s="137"/>
      <c r="C987" s="1"/>
      <c r="D987" s="1"/>
      <c r="E987" s="1"/>
      <c r="F987" s="1"/>
      <c r="G987" s="1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3.2" x14ac:dyDescent="0.25">
      <c r="A988" s="2"/>
      <c r="B988" s="137"/>
      <c r="C988" s="1"/>
      <c r="D988" s="1"/>
      <c r="E988" s="1"/>
      <c r="F988" s="1"/>
      <c r="G988" s="1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3.2" x14ac:dyDescent="0.25">
      <c r="A989" s="2"/>
      <c r="B989" s="137"/>
      <c r="C989" s="1"/>
      <c r="D989" s="1"/>
      <c r="E989" s="1"/>
      <c r="F989" s="1"/>
      <c r="G989" s="1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3.2" x14ac:dyDescent="0.25">
      <c r="A990" s="2"/>
      <c r="B990" s="137"/>
      <c r="C990" s="1"/>
      <c r="D990" s="1"/>
      <c r="E990" s="1"/>
      <c r="F990" s="1"/>
      <c r="G990" s="1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3.2" x14ac:dyDescent="0.25">
      <c r="A991" s="2"/>
      <c r="B991" s="137"/>
      <c r="C991" s="1"/>
      <c r="D991" s="1"/>
      <c r="E991" s="1"/>
      <c r="F991" s="1"/>
      <c r="G991" s="1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3.2" x14ac:dyDescent="0.25">
      <c r="A992" s="2"/>
      <c r="B992" s="137"/>
      <c r="C992" s="1"/>
      <c r="D992" s="1"/>
      <c r="E992" s="1"/>
      <c r="F992" s="1"/>
      <c r="G992" s="1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3.2" x14ac:dyDescent="0.25">
      <c r="A993" s="2"/>
      <c r="B993" s="137"/>
      <c r="C993" s="1"/>
      <c r="D993" s="1"/>
      <c r="E993" s="1"/>
      <c r="F993" s="1"/>
      <c r="G993" s="1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3.2" x14ac:dyDescent="0.25">
      <c r="A994" s="2"/>
      <c r="B994" s="137"/>
      <c r="C994" s="1"/>
      <c r="D994" s="1"/>
      <c r="E994" s="1"/>
      <c r="F994" s="1"/>
      <c r="G994" s="1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3.2" x14ac:dyDescent="0.25">
      <c r="A995" s="2"/>
      <c r="B995" s="137"/>
      <c r="C995" s="1"/>
      <c r="D995" s="1"/>
      <c r="E995" s="1"/>
      <c r="F995" s="1"/>
      <c r="G995" s="1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3.2" x14ac:dyDescent="0.25">
      <c r="A996" s="2"/>
      <c r="B996" s="137"/>
      <c r="C996" s="1"/>
      <c r="D996" s="1"/>
      <c r="E996" s="1"/>
      <c r="F996" s="1"/>
      <c r="G996" s="1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3.2" x14ac:dyDescent="0.25">
      <c r="A997" s="2"/>
      <c r="B997" s="137"/>
      <c r="C997" s="1"/>
      <c r="D997" s="1"/>
      <c r="E997" s="1"/>
      <c r="F997" s="1"/>
      <c r="G997" s="1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3.2" x14ac:dyDescent="0.25">
      <c r="A998" s="2"/>
      <c r="B998" s="137"/>
      <c r="C998" s="1"/>
      <c r="D998" s="1"/>
      <c r="E998" s="1"/>
      <c r="F998" s="1"/>
      <c r="G998" s="1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3.2" x14ac:dyDescent="0.25">
      <c r="A999" s="2"/>
      <c r="B999" s="137"/>
      <c r="C999" s="1"/>
      <c r="D999" s="1"/>
      <c r="E999" s="1"/>
      <c r="F999" s="1"/>
      <c r="G999" s="1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3.2" x14ac:dyDescent="0.25">
      <c r="A1000" s="2"/>
      <c r="B1000" s="137"/>
      <c r="C1000" s="1"/>
      <c r="D1000" s="1"/>
      <c r="E1000" s="1"/>
      <c r="F1000" s="1"/>
      <c r="G1000" s="1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  <row r="1001" spans="1:22" ht="13.2" x14ac:dyDescent="0.25">
      <c r="A1001" s="2"/>
      <c r="B1001" s="137"/>
      <c r="C1001" s="1"/>
      <c r="D1001" s="1"/>
      <c r="E1001" s="1"/>
      <c r="F1001" s="1"/>
      <c r="G1001" s="1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</row>
    <row r="1002" spans="1:22" ht="13.2" x14ac:dyDescent="0.25">
      <c r="A1002" s="2"/>
      <c r="B1002" s="137"/>
      <c r="C1002" s="1"/>
      <c r="D1002" s="1"/>
      <c r="E1002" s="1"/>
      <c r="F1002" s="1"/>
      <c r="G1002" s="1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</row>
    <row r="1003" spans="1:22" ht="13.2" x14ac:dyDescent="0.25">
      <c r="A1003" s="2"/>
      <c r="B1003" s="137"/>
      <c r="C1003" s="1"/>
      <c r="D1003" s="1"/>
      <c r="E1003" s="1"/>
      <c r="F1003" s="1"/>
      <c r="G1003" s="1"/>
      <c r="H1003" s="2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</row>
    <row r="1004" spans="1:22" ht="13.2" x14ac:dyDescent="0.25">
      <c r="A1004" s="2"/>
      <c r="B1004" s="137"/>
      <c r="C1004" s="1"/>
      <c r="D1004" s="1"/>
      <c r="E1004" s="1"/>
      <c r="F1004" s="1"/>
      <c r="G1004" s="1"/>
      <c r="H1004" s="2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</row>
    <row r="1005" spans="1:22" ht="13.2" x14ac:dyDescent="0.25">
      <c r="A1005" s="2"/>
      <c r="B1005" s="137"/>
      <c r="C1005" s="1"/>
      <c r="D1005" s="1"/>
      <c r="E1005" s="1"/>
      <c r="F1005" s="1"/>
      <c r="G1005" s="1"/>
      <c r="H1005" s="2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</row>
    <row r="1006" spans="1:22" ht="13.2" x14ac:dyDescent="0.25">
      <c r="A1006" s="2"/>
      <c r="B1006" s="137"/>
      <c r="C1006" s="1"/>
      <c r="D1006" s="1"/>
      <c r="E1006" s="1"/>
      <c r="F1006" s="1"/>
      <c r="G1006" s="1"/>
      <c r="H1006" s="2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</row>
    <row r="1007" spans="1:22" ht="13.2" x14ac:dyDescent="0.25">
      <c r="A1007" s="2"/>
      <c r="B1007" s="137"/>
      <c r="C1007" s="1"/>
      <c r="D1007" s="1"/>
      <c r="E1007" s="1"/>
      <c r="F1007" s="1"/>
      <c r="G1007" s="1"/>
      <c r="H1007" s="2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</row>
    <row r="1008" spans="1:22" ht="13.2" x14ac:dyDescent="0.25">
      <c r="A1008" s="2"/>
      <c r="B1008" s="137"/>
      <c r="C1008" s="1"/>
      <c r="D1008" s="1"/>
      <c r="E1008" s="1"/>
      <c r="F1008" s="1"/>
      <c r="G1008" s="1"/>
      <c r="H1008" s="2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</row>
    <row r="1009" spans="1:22" ht="13.2" x14ac:dyDescent="0.25">
      <c r="A1009" s="2"/>
      <c r="B1009" s="137"/>
      <c r="C1009" s="1"/>
      <c r="D1009" s="1"/>
      <c r="E1009" s="1"/>
      <c r="F1009" s="1"/>
      <c r="G1009" s="1"/>
      <c r="H1009" s="2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</row>
    <row r="1010" spans="1:22" ht="13.2" x14ac:dyDescent="0.25">
      <c r="A1010" s="2"/>
      <c r="B1010" s="137"/>
      <c r="C1010" s="1"/>
      <c r="D1010" s="1"/>
      <c r="E1010" s="1"/>
      <c r="F1010" s="1"/>
      <c r="G1010" s="1"/>
      <c r="H1010" s="2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</row>
    <row r="1011" spans="1:22" ht="13.2" x14ac:dyDescent="0.25">
      <c r="A1011" s="2"/>
      <c r="B1011" s="137"/>
      <c r="C1011" s="1"/>
      <c r="D1011" s="1"/>
      <c r="E1011" s="1"/>
      <c r="F1011" s="1"/>
      <c r="G1011" s="1"/>
      <c r="H1011" s="2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</row>
    <row r="1012" spans="1:22" ht="13.2" x14ac:dyDescent="0.25">
      <c r="A1012" s="2"/>
      <c r="B1012" s="137"/>
      <c r="C1012" s="1"/>
      <c r="D1012" s="1"/>
      <c r="E1012" s="1"/>
      <c r="F1012" s="1"/>
      <c r="G1012" s="1"/>
      <c r="H1012" s="2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</row>
    <row r="1013" spans="1:22" ht="13.2" x14ac:dyDescent="0.25">
      <c r="A1013" s="2"/>
      <c r="B1013" s="137"/>
      <c r="C1013" s="1"/>
      <c r="D1013" s="1"/>
      <c r="E1013" s="1"/>
      <c r="F1013" s="1"/>
      <c r="G1013" s="1"/>
      <c r="H1013" s="2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</row>
    <row r="1014" spans="1:22" ht="13.2" x14ac:dyDescent="0.25">
      <c r="A1014" s="2"/>
      <c r="B1014" s="137"/>
      <c r="C1014" s="1"/>
      <c r="D1014" s="1"/>
      <c r="E1014" s="1"/>
      <c r="F1014" s="1"/>
      <c r="G1014" s="1"/>
      <c r="H1014" s="2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</row>
    <row r="1015" spans="1:22" ht="13.2" x14ac:dyDescent="0.25">
      <c r="A1015" s="2"/>
      <c r="B1015" s="137"/>
      <c r="C1015" s="1"/>
      <c r="D1015" s="1"/>
      <c r="E1015" s="1"/>
      <c r="F1015" s="1"/>
      <c r="G1015" s="1"/>
      <c r="H1015" s="2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</row>
    <row r="1016" spans="1:22" ht="13.2" x14ac:dyDescent="0.25">
      <c r="A1016" s="2"/>
      <c r="B1016" s="137"/>
      <c r="C1016" s="1"/>
      <c r="D1016" s="1"/>
      <c r="E1016" s="1"/>
      <c r="F1016" s="1"/>
      <c r="G1016" s="1"/>
      <c r="H1016" s="2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</row>
    <row r="1017" spans="1:22" ht="13.2" x14ac:dyDescent="0.25">
      <c r="A1017" s="2"/>
      <c r="B1017" s="137"/>
      <c r="C1017" s="1"/>
      <c r="D1017" s="1"/>
      <c r="E1017" s="1"/>
      <c r="F1017" s="1"/>
      <c r="G1017" s="1"/>
      <c r="H1017" s="2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</row>
    <row r="1018" spans="1:22" ht="13.2" x14ac:dyDescent="0.25">
      <c r="A1018" s="2"/>
      <c r="B1018" s="137"/>
      <c r="C1018" s="1"/>
      <c r="D1018" s="1"/>
      <c r="E1018" s="1"/>
      <c r="F1018" s="1"/>
      <c r="G1018" s="1"/>
      <c r="H1018" s="2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</row>
    <row r="1019" spans="1:22" ht="13.2" x14ac:dyDescent="0.25">
      <c r="A1019" s="2"/>
      <c r="B1019" s="137"/>
      <c r="C1019" s="1"/>
      <c r="D1019" s="1"/>
      <c r="E1019" s="1"/>
      <c r="F1019" s="1"/>
      <c r="G1019" s="1"/>
      <c r="H1019" s="2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</row>
    <row r="1020" spans="1:22" ht="13.2" x14ac:dyDescent="0.25">
      <c r="A1020" s="2"/>
      <c r="B1020" s="137"/>
      <c r="C1020" s="1"/>
      <c r="D1020" s="1"/>
      <c r="E1020" s="1"/>
      <c r="F1020" s="1"/>
      <c r="G1020" s="1"/>
      <c r="H1020" s="2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</row>
    <row r="1021" spans="1:22" ht="13.2" x14ac:dyDescent="0.25">
      <c r="A1021" s="2"/>
      <c r="B1021" s="137"/>
      <c r="C1021" s="1"/>
      <c r="D1021" s="1"/>
      <c r="E1021" s="1"/>
      <c r="F1021" s="1"/>
      <c r="G1021" s="1"/>
      <c r="H1021" s="2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</row>
    <row r="1022" spans="1:22" ht="13.2" x14ac:dyDescent="0.25">
      <c r="A1022" s="2"/>
      <c r="B1022" s="137"/>
      <c r="C1022" s="1"/>
      <c r="D1022" s="1"/>
      <c r="E1022" s="1"/>
      <c r="F1022" s="1"/>
      <c r="G1022" s="1"/>
      <c r="H1022" s="2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</row>
    <row r="1023" spans="1:22" ht="13.2" x14ac:dyDescent="0.25">
      <c r="A1023" s="2"/>
      <c r="B1023" s="137"/>
      <c r="C1023" s="1"/>
      <c r="D1023" s="1"/>
      <c r="E1023" s="1"/>
      <c r="F1023" s="1"/>
      <c r="G1023" s="1"/>
      <c r="H1023" s="2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</row>
    <row r="1024" spans="1:22" ht="13.2" x14ac:dyDescent="0.25">
      <c r="A1024" s="2"/>
      <c r="B1024" s="137"/>
      <c r="C1024" s="1"/>
      <c r="D1024" s="1"/>
      <c r="E1024" s="1"/>
      <c r="F1024" s="1"/>
      <c r="G1024" s="1"/>
      <c r="H1024" s="2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</row>
    <row r="1025" spans="1:22" ht="13.2" x14ac:dyDescent="0.25">
      <c r="A1025" s="2"/>
      <c r="B1025" s="137"/>
      <c r="C1025" s="1"/>
      <c r="D1025" s="1"/>
      <c r="E1025" s="1"/>
      <c r="F1025" s="1"/>
      <c r="G1025" s="1"/>
      <c r="H1025" s="2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</row>
    <row r="1026" spans="1:22" ht="13.2" x14ac:dyDescent="0.25">
      <c r="A1026" s="2"/>
      <c r="B1026" s="137"/>
      <c r="C1026" s="1"/>
      <c r="D1026" s="1"/>
      <c r="E1026" s="1"/>
      <c r="F1026" s="1"/>
      <c r="G1026" s="1"/>
      <c r="H1026" s="2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</row>
    <row r="1027" spans="1:22" ht="13.2" x14ac:dyDescent="0.25">
      <c r="A1027" s="2"/>
      <c r="B1027" s="137"/>
      <c r="C1027" s="1"/>
      <c r="D1027" s="1"/>
      <c r="E1027" s="1"/>
      <c r="F1027" s="1"/>
      <c r="G1027" s="1"/>
      <c r="H1027" s="2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</row>
    <row r="1028" spans="1:22" ht="13.2" x14ac:dyDescent="0.25">
      <c r="A1028" s="2"/>
      <c r="B1028" s="137"/>
      <c r="C1028" s="1"/>
      <c r="D1028" s="1"/>
      <c r="E1028" s="1"/>
      <c r="F1028" s="1"/>
      <c r="G1028" s="1"/>
      <c r="H1028" s="2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</row>
    <row r="1029" spans="1:22" ht="13.2" x14ac:dyDescent="0.25">
      <c r="A1029" s="2"/>
      <c r="B1029" s="137"/>
      <c r="C1029" s="1"/>
      <c r="D1029" s="1"/>
      <c r="E1029" s="1"/>
      <c r="F1029" s="1"/>
      <c r="G1029" s="1"/>
      <c r="H1029" s="2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</row>
    <row r="1030" spans="1:22" ht="13.2" x14ac:dyDescent="0.25">
      <c r="A1030" s="2"/>
      <c r="B1030" s="137"/>
      <c r="C1030" s="1"/>
      <c r="D1030" s="1"/>
      <c r="E1030" s="1"/>
      <c r="F1030" s="1"/>
      <c r="G1030" s="1"/>
      <c r="H1030" s="2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</row>
    <row r="1031" spans="1:22" ht="13.2" x14ac:dyDescent="0.25">
      <c r="A1031" s="2"/>
      <c r="B1031" s="137"/>
      <c r="C1031" s="1"/>
      <c r="D1031" s="1"/>
      <c r="E1031" s="1"/>
      <c r="F1031" s="1"/>
      <c r="G1031" s="1"/>
      <c r="H1031" s="2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</row>
    <row r="1032" spans="1:22" ht="13.2" x14ac:dyDescent="0.25">
      <c r="A1032" s="2"/>
      <c r="B1032" s="137"/>
      <c r="C1032" s="1"/>
      <c r="D1032" s="1"/>
      <c r="E1032" s="1"/>
      <c r="F1032" s="1"/>
      <c r="G1032" s="1"/>
      <c r="H1032" s="2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</row>
    <row r="1033" spans="1:22" ht="13.2" x14ac:dyDescent="0.25">
      <c r="A1033" s="2"/>
      <c r="B1033" s="137"/>
      <c r="C1033" s="1"/>
      <c r="D1033" s="1"/>
      <c r="E1033" s="1"/>
      <c r="F1033" s="1"/>
      <c r="G1033" s="1"/>
      <c r="H1033" s="2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</row>
    <row r="1034" spans="1:22" ht="13.2" x14ac:dyDescent="0.25">
      <c r="A1034" s="2"/>
      <c r="B1034" s="137"/>
      <c r="C1034" s="1"/>
      <c r="D1034" s="1"/>
      <c r="E1034" s="1"/>
      <c r="F1034" s="1"/>
      <c r="G1034" s="1"/>
      <c r="H1034" s="2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</row>
    <row r="1035" spans="1:22" ht="13.2" x14ac:dyDescent="0.25">
      <c r="A1035" s="2"/>
      <c r="B1035" s="137"/>
      <c r="C1035" s="1"/>
      <c r="D1035" s="1"/>
      <c r="E1035" s="1"/>
      <c r="F1035" s="1"/>
      <c r="G1035" s="1"/>
      <c r="H1035" s="2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</row>
    <row r="1036" spans="1:22" ht="13.2" x14ac:dyDescent="0.25">
      <c r="A1036" s="2"/>
      <c r="B1036" s="137"/>
      <c r="C1036" s="1"/>
      <c r="D1036" s="1"/>
      <c r="E1036" s="1"/>
      <c r="F1036" s="1"/>
      <c r="G1036" s="1"/>
      <c r="H1036" s="2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</row>
    <row r="1037" spans="1:22" ht="13.2" x14ac:dyDescent="0.25">
      <c r="A1037" s="2"/>
      <c r="B1037" s="137"/>
      <c r="C1037" s="1"/>
      <c r="D1037" s="1"/>
      <c r="E1037" s="1"/>
      <c r="F1037" s="1"/>
      <c r="G1037" s="1"/>
      <c r="H1037" s="2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</row>
    <row r="1038" spans="1:22" ht="13.2" x14ac:dyDescent="0.25">
      <c r="A1038" s="2"/>
      <c r="B1038" s="137"/>
      <c r="C1038" s="1"/>
      <c r="D1038" s="1"/>
      <c r="E1038" s="1"/>
      <c r="F1038" s="1"/>
      <c r="G1038" s="1"/>
      <c r="H1038" s="2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</row>
    <row r="1039" spans="1:22" ht="13.2" x14ac:dyDescent="0.25">
      <c r="A1039" s="2"/>
      <c r="B1039" s="137"/>
      <c r="C1039" s="1"/>
      <c r="D1039" s="1"/>
      <c r="E1039" s="1"/>
      <c r="F1039" s="1"/>
      <c r="G1039" s="1"/>
      <c r="H1039" s="2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</row>
    <row r="1040" spans="1:22" ht="13.2" x14ac:dyDescent="0.25">
      <c r="A1040" s="2"/>
      <c r="B1040" s="137"/>
      <c r="C1040" s="1"/>
      <c r="D1040" s="1"/>
      <c r="E1040" s="1"/>
      <c r="F1040" s="1"/>
      <c r="G1040" s="1"/>
      <c r="H1040" s="2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</row>
    <row r="1041" spans="1:22" ht="13.2" x14ac:dyDescent="0.25">
      <c r="A1041" s="2"/>
      <c r="B1041" s="137"/>
      <c r="C1041" s="1"/>
      <c r="D1041" s="1"/>
      <c r="E1041" s="1"/>
      <c r="F1041" s="1"/>
      <c r="G1041" s="1"/>
      <c r="H1041" s="2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</row>
    <row r="1042" spans="1:22" ht="13.2" x14ac:dyDescent="0.25">
      <c r="A1042" s="2"/>
      <c r="B1042" s="137"/>
      <c r="C1042" s="1"/>
      <c r="D1042" s="1"/>
      <c r="E1042" s="1"/>
      <c r="F1042" s="1"/>
      <c r="G1042" s="1"/>
      <c r="H1042" s="2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</row>
    <row r="1043" spans="1:22" ht="13.2" x14ac:dyDescent="0.25">
      <c r="A1043" s="2"/>
      <c r="B1043" s="137"/>
      <c r="C1043" s="1"/>
      <c r="D1043" s="1"/>
      <c r="E1043" s="1"/>
      <c r="F1043" s="1"/>
      <c r="G1043" s="1"/>
      <c r="H1043" s="2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</row>
    <row r="1044" spans="1:22" ht="13.2" x14ac:dyDescent="0.25">
      <c r="A1044" s="2"/>
      <c r="B1044" s="137"/>
      <c r="C1044" s="1"/>
      <c r="D1044" s="1"/>
      <c r="E1044" s="1"/>
      <c r="F1044" s="1"/>
      <c r="G1044" s="1"/>
      <c r="H1044" s="2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</row>
    <row r="1045" spans="1:22" ht="13.2" x14ac:dyDescent="0.25">
      <c r="A1045" s="2"/>
      <c r="B1045" s="137"/>
      <c r="C1045" s="1"/>
      <c r="D1045" s="1"/>
      <c r="E1045" s="1"/>
      <c r="F1045" s="1"/>
      <c r="G1045" s="1"/>
      <c r="H1045" s="2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</row>
    <row r="1046" spans="1:22" ht="13.2" x14ac:dyDescent="0.25">
      <c r="A1046" s="2"/>
      <c r="B1046" s="137"/>
      <c r="C1046" s="1"/>
      <c r="D1046" s="1"/>
      <c r="E1046" s="1"/>
      <c r="F1046" s="1"/>
      <c r="G1046" s="1"/>
      <c r="H1046" s="2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</row>
    <row r="1047" spans="1:22" ht="13.2" x14ac:dyDescent="0.25">
      <c r="A1047" s="2"/>
      <c r="B1047" s="137"/>
      <c r="C1047" s="1"/>
      <c r="D1047" s="1"/>
      <c r="E1047" s="1"/>
      <c r="F1047" s="1"/>
      <c r="G1047" s="1"/>
      <c r="H1047" s="2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</row>
    <row r="1048" spans="1:22" ht="13.2" x14ac:dyDescent="0.25">
      <c r="A1048" s="2"/>
      <c r="B1048" s="137"/>
      <c r="C1048" s="1"/>
      <c r="D1048" s="1"/>
      <c r="E1048" s="1"/>
      <c r="F1048" s="1"/>
      <c r="G1048" s="1"/>
      <c r="H1048" s="2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</row>
    <row r="1049" spans="1:22" ht="13.2" x14ac:dyDescent="0.25">
      <c r="A1049" s="2"/>
      <c r="B1049" s="137"/>
      <c r="C1049" s="1"/>
      <c r="D1049" s="1"/>
      <c r="E1049" s="1"/>
      <c r="F1049" s="1"/>
      <c r="G1049" s="1"/>
      <c r="H1049" s="2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</row>
    <row r="1050" spans="1:22" ht="13.2" x14ac:dyDescent="0.25">
      <c r="A1050" s="2"/>
      <c r="B1050" s="137"/>
      <c r="C1050" s="1"/>
      <c r="D1050" s="1"/>
      <c r="E1050" s="1"/>
      <c r="F1050" s="1"/>
      <c r="G1050" s="1"/>
      <c r="H1050" s="2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</row>
    <row r="1051" spans="1:22" ht="13.2" x14ac:dyDescent="0.25">
      <c r="A1051" s="2"/>
      <c r="B1051" s="137"/>
      <c r="C1051" s="1"/>
      <c r="D1051" s="1"/>
      <c r="E1051" s="1"/>
      <c r="F1051" s="1"/>
      <c r="G1051" s="1"/>
      <c r="H1051" s="2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</row>
    <row r="1052" spans="1:22" ht="13.2" x14ac:dyDescent="0.25">
      <c r="A1052" s="2"/>
      <c r="B1052" s="137"/>
      <c r="C1052" s="1"/>
      <c r="D1052" s="1"/>
      <c r="E1052" s="1"/>
      <c r="F1052" s="1"/>
      <c r="G1052" s="1"/>
      <c r="H1052" s="2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</row>
    <row r="1053" spans="1:22" ht="13.2" x14ac:dyDescent="0.25">
      <c r="A1053" s="2"/>
      <c r="B1053" s="137"/>
      <c r="C1053" s="1"/>
      <c r="D1053" s="1"/>
      <c r="E1053" s="1"/>
      <c r="F1053" s="1"/>
      <c r="G1053" s="1"/>
      <c r="H1053" s="2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</row>
    <row r="1054" spans="1:22" ht="13.2" x14ac:dyDescent="0.25">
      <c r="A1054" s="2"/>
      <c r="B1054" s="137"/>
      <c r="C1054" s="1"/>
      <c r="D1054" s="1"/>
      <c r="E1054" s="1"/>
      <c r="F1054" s="1"/>
      <c r="G1054" s="1"/>
      <c r="H1054" s="2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</row>
    <row r="1055" spans="1:22" ht="13.2" x14ac:dyDescent="0.25">
      <c r="A1055" s="2"/>
      <c r="B1055" s="137"/>
      <c r="C1055" s="1"/>
      <c r="D1055" s="1"/>
      <c r="E1055" s="1"/>
      <c r="F1055" s="1"/>
      <c r="G1055" s="1"/>
      <c r="H1055" s="2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</row>
    <row r="1056" spans="1:22" ht="13.2" x14ac:dyDescent="0.25">
      <c r="A1056" s="2"/>
      <c r="B1056" s="137"/>
      <c r="C1056" s="1"/>
      <c r="D1056" s="1"/>
      <c r="E1056" s="1"/>
      <c r="F1056" s="1"/>
      <c r="G1056" s="1"/>
      <c r="H1056" s="2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</row>
    <row r="1057" spans="1:22" ht="13.2" x14ac:dyDescent="0.25">
      <c r="A1057" s="2"/>
      <c r="B1057" s="137"/>
      <c r="C1057" s="1"/>
      <c r="D1057" s="1"/>
      <c r="E1057" s="1"/>
      <c r="F1057" s="1"/>
      <c r="G1057" s="1"/>
      <c r="H1057" s="2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</row>
    <row r="1058" spans="1:22" ht="13.2" x14ac:dyDescent="0.25">
      <c r="A1058" s="2"/>
      <c r="B1058" s="137"/>
      <c r="C1058" s="1"/>
      <c r="D1058" s="1"/>
      <c r="E1058" s="1"/>
      <c r="F1058" s="1"/>
      <c r="G1058" s="1"/>
      <c r="H1058" s="2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</row>
    <row r="1059" spans="1:22" ht="13.2" x14ac:dyDescent="0.25">
      <c r="A1059" s="2"/>
      <c r="B1059" s="137"/>
      <c r="C1059" s="1"/>
      <c r="D1059" s="1"/>
      <c r="E1059" s="1"/>
      <c r="F1059" s="1"/>
      <c r="G1059" s="1"/>
      <c r="H1059" s="2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</row>
    <row r="1060" spans="1:22" ht="13.2" x14ac:dyDescent="0.25">
      <c r="A1060" s="2"/>
      <c r="B1060" s="137"/>
      <c r="C1060" s="1"/>
      <c r="D1060" s="1"/>
      <c r="E1060" s="1"/>
      <c r="F1060" s="1"/>
      <c r="G1060" s="1"/>
      <c r="H1060" s="2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</row>
    <row r="1061" spans="1:22" ht="13.2" x14ac:dyDescent="0.25">
      <c r="A1061" s="2"/>
      <c r="B1061" s="137"/>
      <c r="C1061" s="1"/>
      <c r="D1061" s="1"/>
      <c r="E1061" s="1"/>
      <c r="F1061" s="1"/>
      <c r="G1061" s="1"/>
      <c r="H1061" s="2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</row>
    <row r="1062" spans="1:22" ht="13.2" x14ac:dyDescent="0.25">
      <c r="A1062" s="2"/>
      <c r="B1062" s="137"/>
      <c r="C1062" s="1"/>
      <c r="D1062" s="1"/>
      <c r="E1062" s="1"/>
      <c r="F1062" s="1"/>
      <c r="G1062" s="1"/>
      <c r="H1062" s="2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</row>
    <row r="1063" spans="1:22" ht="13.2" x14ac:dyDescent="0.25">
      <c r="A1063" s="2"/>
      <c r="B1063" s="137"/>
      <c r="C1063" s="1"/>
      <c r="D1063" s="1"/>
      <c r="E1063" s="1"/>
      <c r="F1063" s="1"/>
      <c r="G1063" s="1"/>
      <c r="H1063" s="2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</row>
    <row r="1064" spans="1:22" ht="13.2" x14ac:dyDescent="0.25">
      <c r="A1064" s="2"/>
      <c r="B1064" s="137"/>
      <c r="C1064" s="1"/>
      <c r="D1064" s="1"/>
      <c r="E1064" s="1"/>
      <c r="F1064" s="1"/>
      <c r="G1064" s="1"/>
      <c r="H1064" s="2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</row>
    <row r="1065" spans="1:22" ht="13.2" x14ac:dyDescent="0.25">
      <c r="A1065" s="2"/>
      <c r="B1065" s="137"/>
      <c r="C1065" s="1"/>
      <c r="D1065" s="1"/>
      <c r="E1065" s="1"/>
      <c r="F1065" s="1"/>
      <c r="G1065" s="1"/>
      <c r="H1065" s="2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</row>
    <row r="1066" spans="1:22" ht="13.2" x14ac:dyDescent="0.25">
      <c r="A1066" s="2"/>
      <c r="B1066" s="137"/>
      <c r="C1066" s="1"/>
      <c r="D1066" s="1"/>
      <c r="E1066" s="1"/>
      <c r="F1066" s="1"/>
      <c r="G1066" s="1"/>
      <c r="H1066" s="2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</row>
    <row r="1067" spans="1:22" ht="13.2" x14ac:dyDescent="0.25">
      <c r="A1067" s="2"/>
      <c r="B1067" s="137"/>
      <c r="C1067" s="1"/>
      <c r="D1067" s="1"/>
      <c r="E1067" s="1"/>
      <c r="F1067" s="1"/>
      <c r="G1067" s="1"/>
      <c r="H1067" s="2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</row>
    <row r="1068" spans="1:22" ht="13.2" x14ac:dyDescent="0.25">
      <c r="A1068" s="2"/>
      <c r="B1068" s="137"/>
      <c r="C1068" s="1"/>
      <c r="D1068" s="1"/>
      <c r="E1068" s="1"/>
      <c r="F1068" s="1"/>
      <c r="G1068" s="1"/>
      <c r="H1068" s="2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</row>
    <row r="1069" spans="1:22" ht="13.2" x14ac:dyDescent="0.25">
      <c r="A1069" s="2"/>
      <c r="B1069" s="137"/>
      <c r="C1069" s="1"/>
      <c r="D1069" s="1"/>
      <c r="E1069" s="1"/>
      <c r="F1069" s="1"/>
      <c r="G1069" s="1"/>
      <c r="H1069" s="2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</row>
    <row r="1070" spans="1:22" ht="13.2" x14ac:dyDescent="0.25">
      <c r="A1070" s="2"/>
      <c r="B1070" s="137"/>
      <c r="C1070" s="1"/>
      <c r="D1070" s="1"/>
      <c r="E1070" s="1"/>
      <c r="F1070" s="1"/>
      <c r="G1070" s="1"/>
      <c r="H1070" s="2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</row>
    <row r="1071" spans="1:22" ht="13.2" x14ac:dyDescent="0.25">
      <c r="A1071" s="2"/>
      <c r="B1071" s="137"/>
      <c r="C1071" s="1"/>
      <c r="D1071" s="1"/>
      <c r="E1071" s="1"/>
      <c r="F1071" s="1"/>
      <c r="G1071" s="1"/>
      <c r="H1071" s="2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</row>
    <row r="1072" spans="1:22" ht="13.2" x14ac:dyDescent="0.25">
      <c r="A1072" s="2"/>
      <c r="B1072" s="137"/>
      <c r="C1072" s="1"/>
      <c r="D1072" s="1"/>
      <c r="E1072" s="1"/>
      <c r="F1072" s="1"/>
      <c r="G1072" s="1"/>
      <c r="H1072" s="2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</row>
    <row r="1073" spans="1:22" ht="13.2" x14ac:dyDescent="0.25">
      <c r="A1073" s="2"/>
      <c r="B1073" s="137"/>
      <c r="C1073" s="1"/>
      <c r="D1073" s="1"/>
      <c r="E1073" s="1"/>
      <c r="F1073" s="1"/>
      <c r="G1073" s="1"/>
      <c r="H1073" s="2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</row>
    <row r="1074" spans="1:22" ht="13.2" x14ac:dyDescent="0.25">
      <c r="A1074" s="2"/>
      <c r="B1074" s="137"/>
      <c r="C1074" s="1"/>
      <c r="D1074" s="1"/>
      <c r="E1074" s="1"/>
      <c r="F1074" s="1"/>
      <c r="G1074" s="1"/>
      <c r="H1074" s="2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</row>
    <row r="1075" spans="1:22" ht="13.2" x14ac:dyDescent="0.25">
      <c r="A1075" s="2"/>
      <c r="B1075" s="137"/>
      <c r="C1075" s="1"/>
      <c r="D1075" s="1"/>
      <c r="E1075" s="1"/>
      <c r="F1075" s="1"/>
      <c r="G1075" s="1"/>
      <c r="H1075" s="2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</row>
    <row r="1076" spans="1:22" ht="13.2" x14ac:dyDescent="0.25">
      <c r="A1076" s="2"/>
      <c r="B1076" s="137"/>
      <c r="C1076" s="1"/>
      <c r="D1076" s="1"/>
      <c r="E1076" s="1"/>
      <c r="F1076" s="1"/>
      <c r="G1076" s="1"/>
      <c r="H1076" s="2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</row>
    <row r="1077" spans="1:22" ht="13.2" x14ac:dyDescent="0.25">
      <c r="A1077" s="2"/>
      <c r="B1077" s="137"/>
      <c r="C1077" s="1"/>
      <c r="D1077" s="1"/>
      <c r="E1077" s="1"/>
      <c r="F1077" s="1"/>
      <c r="G1077" s="1"/>
      <c r="H1077" s="2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</row>
    <row r="1078" spans="1:22" ht="13.2" x14ac:dyDescent="0.25">
      <c r="A1078" s="2"/>
      <c r="B1078" s="137"/>
      <c r="C1078" s="1"/>
      <c r="D1078" s="1"/>
      <c r="E1078" s="1"/>
      <c r="F1078" s="1"/>
      <c r="G1078" s="1"/>
      <c r="H1078" s="2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</row>
    <row r="1079" spans="1:22" ht="13.2" x14ac:dyDescent="0.25">
      <c r="A1079" s="2"/>
      <c r="B1079" s="137"/>
      <c r="C1079" s="1"/>
      <c r="D1079" s="1"/>
      <c r="E1079" s="1"/>
      <c r="F1079" s="1"/>
      <c r="G1079" s="1"/>
      <c r="H1079" s="2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</row>
    <row r="1080" spans="1:22" ht="13.2" x14ac:dyDescent="0.25">
      <c r="A1080" s="2"/>
      <c r="B1080" s="137"/>
      <c r="C1080" s="1"/>
      <c r="D1080" s="1"/>
      <c r="E1080" s="1"/>
      <c r="F1080" s="1"/>
      <c r="G1080" s="1"/>
      <c r="H1080" s="2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</row>
    <row r="1081" spans="1:22" ht="13.2" x14ac:dyDescent="0.25">
      <c r="A1081" s="2"/>
      <c r="B1081" s="137"/>
      <c r="C1081" s="1"/>
      <c r="D1081" s="1"/>
      <c r="E1081" s="1"/>
      <c r="F1081" s="1"/>
      <c r="G1081" s="1"/>
      <c r="H1081" s="2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</row>
    <row r="1082" spans="1:22" ht="13.2" x14ac:dyDescent="0.25">
      <c r="A1082" s="2"/>
      <c r="B1082" s="137"/>
      <c r="C1082" s="1"/>
      <c r="D1082" s="1"/>
      <c r="E1082" s="1"/>
      <c r="F1082" s="1"/>
      <c r="G1082" s="1"/>
      <c r="H1082" s="2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</row>
    <row r="1083" spans="1:22" ht="13.2" x14ac:dyDescent="0.25">
      <c r="A1083" s="2"/>
      <c r="B1083" s="137"/>
      <c r="C1083" s="1"/>
      <c r="D1083" s="1"/>
      <c r="E1083" s="1"/>
      <c r="F1083" s="1"/>
      <c r="G1083" s="1"/>
      <c r="H1083" s="2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</row>
    <row r="1084" spans="1:22" ht="13.2" x14ac:dyDescent="0.25">
      <c r="A1084" s="2"/>
      <c r="B1084" s="137"/>
      <c r="C1084" s="1"/>
      <c r="D1084" s="1"/>
      <c r="E1084" s="1"/>
      <c r="F1084" s="1"/>
      <c r="G1084" s="1"/>
      <c r="H1084" s="2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</row>
    <row r="1085" spans="1:22" ht="13.2" x14ac:dyDescent="0.25">
      <c r="A1085" s="2"/>
      <c r="B1085" s="137"/>
      <c r="C1085" s="1"/>
      <c r="D1085" s="1"/>
      <c r="E1085" s="1"/>
      <c r="F1085" s="1"/>
      <c r="G1085" s="1"/>
      <c r="H1085" s="2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</row>
    <row r="1086" spans="1:22" ht="13.2" x14ac:dyDescent="0.25">
      <c r="A1086" s="2"/>
      <c r="B1086" s="137"/>
      <c r="C1086" s="1"/>
      <c r="D1086" s="1"/>
      <c r="E1086" s="1"/>
      <c r="F1086" s="1"/>
      <c r="G1086" s="1"/>
      <c r="H1086" s="2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</row>
    <row r="1087" spans="1:22" ht="13.2" x14ac:dyDescent="0.25">
      <c r="A1087" s="2"/>
      <c r="B1087" s="137"/>
      <c r="C1087" s="1"/>
      <c r="D1087" s="1"/>
      <c r="E1087" s="1"/>
      <c r="F1087" s="1"/>
      <c r="G1087" s="1"/>
      <c r="H1087" s="2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</row>
    <row r="1088" spans="1:22" ht="13.2" x14ac:dyDescent="0.25">
      <c r="A1088" s="2"/>
      <c r="B1088" s="137"/>
      <c r="C1088" s="1"/>
      <c r="D1088" s="1"/>
      <c r="E1088" s="1"/>
      <c r="F1088" s="1"/>
      <c r="G1088" s="1"/>
      <c r="H1088" s="2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</row>
    <row r="1089" spans="1:22" ht="13.2" x14ac:dyDescent="0.25">
      <c r="A1089" s="2"/>
      <c r="B1089" s="137"/>
      <c r="C1089" s="1"/>
      <c r="D1089" s="1"/>
      <c r="E1089" s="1"/>
      <c r="F1089" s="1"/>
      <c r="G1089" s="1"/>
      <c r="H1089" s="2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</row>
    <row r="1090" spans="1:22" ht="13.2" x14ac:dyDescent="0.25">
      <c r="A1090" s="2"/>
      <c r="B1090" s="137"/>
      <c r="C1090" s="1"/>
      <c r="D1090" s="1"/>
      <c r="E1090" s="1"/>
      <c r="F1090" s="1"/>
      <c r="G1090" s="1"/>
      <c r="H1090" s="2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</row>
    <row r="1091" spans="1:22" ht="13.2" x14ac:dyDescent="0.25">
      <c r="A1091" s="2"/>
      <c r="B1091" s="137"/>
      <c r="C1091" s="1"/>
      <c r="D1091" s="1"/>
      <c r="E1091" s="1"/>
      <c r="F1091" s="1"/>
      <c r="G1091" s="1"/>
      <c r="H1091" s="2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</row>
    <row r="1092" spans="1:22" ht="13.2" x14ac:dyDescent="0.25">
      <c r="A1092" s="2"/>
      <c r="B1092" s="137"/>
      <c r="C1092" s="1"/>
      <c r="D1092" s="1"/>
      <c r="E1092" s="1"/>
      <c r="F1092" s="1"/>
      <c r="G1092" s="1"/>
      <c r="H1092" s="2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</row>
    <row r="1093" spans="1:22" ht="13.2" x14ac:dyDescent="0.25">
      <c r="A1093" s="2"/>
      <c r="B1093" s="137"/>
      <c r="C1093" s="1"/>
      <c r="D1093" s="1"/>
      <c r="E1093" s="1"/>
      <c r="F1093" s="1"/>
      <c r="G1093" s="1"/>
      <c r="H1093" s="2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</row>
    <row r="1094" spans="1:22" ht="13.2" x14ac:dyDescent="0.25">
      <c r="A1094" s="2"/>
      <c r="B1094" s="137"/>
      <c r="C1094" s="1"/>
      <c r="D1094" s="1"/>
      <c r="E1094" s="1"/>
      <c r="F1094" s="1"/>
      <c r="G1094" s="1"/>
      <c r="H1094" s="2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</row>
    <row r="1095" spans="1:22" ht="13.2" x14ac:dyDescent="0.25">
      <c r="A1095" s="2"/>
      <c r="B1095" s="137"/>
      <c r="C1095" s="1"/>
      <c r="D1095" s="1"/>
      <c r="E1095" s="1"/>
      <c r="F1095" s="1"/>
      <c r="G1095" s="1"/>
      <c r="H1095" s="2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</row>
    <row r="1096" spans="1:22" ht="13.2" x14ac:dyDescent="0.25">
      <c r="A1096" s="2"/>
      <c r="B1096" s="137"/>
      <c r="C1096" s="1"/>
      <c r="D1096" s="1"/>
      <c r="E1096" s="1"/>
      <c r="F1096" s="1"/>
      <c r="G1096" s="1"/>
      <c r="H1096" s="2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</row>
    <row r="1097" spans="1:22" ht="13.2" x14ac:dyDescent="0.25">
      <c r="A1097" s="2"/>
      <c r="B1097" s="137"/>
      <c r="C1097" s="1"/>
      <c r="D1097" s="1"/>
      <c r="E1097" s="1"/>
      <c r="F1097" s="1"/>
      <c r="G1097" s="1"/>
      <c r="H1097" s="2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</row>
    <row r="1098" spans="1:22" ht="13.2" x14ac:dyDescent="0.25">
      <c r="A1098" s="2"/>
      <c r="B1098" s="137"/>
      <c r="C1098" s="1"/>
      <c r="D1098" s="1"/>
      <c r="E1098" s="1"/>
      <c r="F1098" s="1"/>
      <c r="G1098" s="1"/>
      <c r="H1098" s="2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</row>
    <row r="1099" spans="1:22" ht="13.2" x14ac:dyDescent="0.25">
      <c r="A1099" s="2"/>
      <c r="B1099" s="137"/>
      <c r="C1099" s="1"/>
      <c r="D1099" s="1"/>
      <c r="E1099" s="1"/>
      <c r="F1099" s="1"/>
      <c r="G1099" s="1"/>
      <c r="H1099" s="2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</row>
    <row r="1100" spans="1:22" ht="13.2" x14ac:dyDescent="0.25">
      <c r="A1100" s="2"/>
      <c r="B1100" s="137"/>
      <c r="C1100" s="1"/>
      <c r="D1100" s="1"/>
      <c r="E1100" s="1"/>
      <c r="F1100" s="1"/>
      <c r="G1100" s="1"/>
      <c r="H1100" s="2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</row>
    <row r="1101" spans="1:22" ht="13.2" x14ac:dyDescent="0.25">
      <c r="A1101" s="2"/>
      <c r="B1101" s="137"/>
      <c r="C1101" s="1"/>
      <c r="D1101" s="1"/>
      <c r="E1101" s="1"/>
      <c r="F1101" s="1"/>
      <c r="G1101" s="1"/>
      <c r="H1101" s="2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</row>
    <row r="1102" spans="1:22" ht="13.2" x14ac:dyDescent="0.25">
      <c r="A1102" s="2"/>
      <c r="B1102" s="137"/>
      <c r="C1102" s="1"/>
      <c r="D1102" s="1"/>
      <c r="E1102" s="1"/>
      <c r="F1102" s="1"/>
      <c r="G1102" s="1"/>
      <c r="H1102" s="2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</row>
    <row r="1103" spans="1:22" ht="13.2" x14ac:dyDescent="0.25">
      <c r="A1103" s="2"/>
      <c r="B1103" s="137"/>
      <c r="C1103" s="1"/>
      <c r="D1103" s="1"/>
      <c r="E1103" s="1"/>
      <c r="F1103" s="1"/>
      <c r="G1103" s="1"/>
      <c r="H1103" s="2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</row>
    <row r="1104" spans="1:22" ht="13.2" x14ac:dyDescent="0.25">
      <c r="A1104" s="2"/>
      <c r="B1104" s="137"/>
      <c r="C1104" s="1"/>
      <c r="D1104" s="1"/>
      <c r="E1104" s="1"/>
      <c r="F1104" s="1"/>
      <c r="G1104" s="1"/>
      <c r="H1104" s="2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</row>
    <row r="1105" spans="1:22" ht="13.2" x14ac:dyDescent="0.25">
      <c r="A1105" s="2"/>
      <c r="B1105" s="137"/>
      <c r="C1105" s="1"/>
      <c r="D1105" s="1"/>
      <c r="E1105" s="1"/>
      <c r="F1105" s="1"/>
      <c r="G1105" s="1"/>
      <c r="H1105" s="2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</row>
    <row r="1106" spans="1:22" ht="13.2" x14ac:dyDescent="0.25">
      <c r="A1106" s="2"/>
      <c r="B1106" s="137"/>
      <c r="C1106" s="1"/>
      <c r="D1106" s="1"/>
      <c r="E1106" s="1"/>
      <c r="F1106" s="1"/>
      <c r="G1106" s="1"/>
      <c r="H1106" s="2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</row>
    <row r="1107" spans="1:22" ht="13.2" x14ac:dyDescent="0.25">
      <c r="A1107" s="2"/>
      <c r="B1107" s="137"/>
      <c r="C1107" s="1"/>
      <c r="D1107" s="1"/>
      <c r="E1107" s="1"/>
      <c r="F1107" s="1"/>
      <c r="G1107" s="1"/>
      <c r="H1107" s="2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</row>
    <row r="1108" spans="1:22" ht="13.2" x14ac:dyDescent="0.25">
      <c r="A1108" s="2"/>
      <c r="B1108" s="137"/>
      <c r="C1108" s="1"/>
      <c r="D1108" s="1"/>
      <c r="E1108" s="1"/>
      <c r="F1108" s="1"/>
      <c r="G1108" s="1"/>
      <c r="H1108" s="2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</row>
    <row r="1109" spans="1:22" ht="13.2" x14ac:dyDescent="0.25">
      <c r="A1109" s="2"/>
      <c r="B1109" s="137"/>
      <c r="C1109" s="1"/>
      <c r="D1109" s="1"/>
      <c r="E1109" s="1"/>
      <c r="F1109" s="1"/>
      <c r="G1109" s="1"/>
      <c r="H1109" s="2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</row>
    <row r="1110" spans="1:22" ht="13.2" x14ac:dyDescent="0.25">
      <c r="A1110" s="2"/>
      <c r="B1110" s="137"/>
      <c r="C1110" s="1"/>
      <c r="D1110" s="1"/>
      <c r="E1110" s="1"/>
      <c r="F1110" s="1"/>
      <c r="G1110" s="1"/>
      <c r="H1110" s="2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</row>
    <row r="1111" spans="1:22" ht="13.2" x14ac:dyDescent="0.25">
      <c r="A1111" s="2"/>
      <c r="B1111" s="137"/>
      <c r="C1111" s="1"/>
      <c r="D1111" s="1"/>
      <c r="E1111" s="1"/>
      <c r="F1111" s="1"/>
      <c r="G1111" s="1"/>
      <c r="H1111" s="2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</row>
    <row r="1112" spans="1:22" ht="13.2" x14ac:dyDescent="0.25">
      <c r="A1112" s="2"/>
      <c r="B1112" s="137"/>
      <c r="C1112" s="1"/>
      <c r="D1112" s="1"/>
      <c r="E1112" s="1"/>
      <c r="F1112" s="1"/>
      <c r="G1112" s="1"/>
      <c r="H1112" s="2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</row>
    <row r="1113" spans="1:22" ht="13.2" x14ac:dyDescent="0.25">
      <c r="A1113" s="2"/>
      <c r="B1113" s="137"/>
      <c r="C1113" s="1"/>
      <c r="D1113" s="1"/>
      <c r="E1113" s="1"/>
      <c r="F1113" s="1"/>
      <c r="G1113" s="1"/>
      <c r="H1113" s="2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</row>
    <row r="1114" spans="1:22" ht="13.2" x14ac:dyDescent="0.25">
      <c r="A1114" s="2"/>
      <c r="B1114" s="137"/>
      <c r="C1114" s="1"/>
      <c r="D1114" s="1"/>
      <c r="E1114" s="1"/>
      <c r="F1114" s="1"/>
      <c r="G1114" s="1"/>
      <c r="H1114" s="2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</row>
    <row r="1115" spans="1:22" ht="13.2" x14ac:dyDescent="0.25">
      <c r="A1115" s="2"/>
      <c r="B1115" s="137"/>
      <c r="C1115" s="1"/>
      <c r="D1115" s="1"/>
      <c r="E1115" s="1"/>
      <c r="F1115" s="1"/>
      <c r="G1115" s="1"/>
      <c r="H1115" s="2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</row>
    <row r="1116" spans="1:22" ht="13.2" x14ac:dyDescent="0.25">
      <c r="A1116" s="2"/>
      <c r="B1116" s="137"/>
      <c r="C1116" s="1"/>
      <c r="D1116" s="1"/>
      <c r="E1116" s="1"/>
      <c r="F1116" s="1"/>
      <c r="G1116" s="1"/>
      <c r="H1116" s="2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</row>
    <row r="1117" spans="1:22" ht="13.2" x14ac:dyDescent="0.25">
      <c r="A1117" s="2"/>
      <c r="B1117" s="137"/>
      <c r="C1117" s="1"/>
      <c r="D1117" s="1"/>
      <c r="E1117" s="1"/>
      <c r="F1117" s="1"/>
      <c r="G1117" s="1"/>
      <c r="H1117" s="2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</row>
    <row r="1118" spans="1:22" ht="13.2" x14ac:dyDescent="0.25">
      <c r="A1118" s="2"/>
      <c r="B1118" s="137"/>
      <c r="C1118" s="1"/>
      <c r="D1118" s="1"/>
      <c r="E1118" s="1"/>
      <c r="F1118" s="1"/>
      <c r="G1118" s="1"/>
      <c r="H1118" s="2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</row>
    <row r="1119" spans="1:22" ht="13.2" x14ac:dyDescent="0.25">
      <c r="A1119" s="2"/>
      <c r="B1119" s="137"/>
      <c r="C1119" s="1"/>
      <c r="D1119" s="1"/>
      <c r="E1119" s="1"/>
      <c r="F1119" s="1"/>
      <c r="G1119" s="1"/>
      <c r="H1119" s="2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</row>
    <row r="1120" spans="1:22" ht="13.2" x14ac:dyDescent="0.25">
      <c r="A1120" s="2"/>
      <c r="B1120" s="137"/>
      <c r="C1120" s="1"/>
      <c r="D1120" s="1"/>
      <c r="E1120" s="1"/>
      <c r="F1120" s="1"/>
      <c r="G1120" s="1"/>
      <c r="H1120" s="2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</row>
    <row r="1121" spans="1:22" ht="13.2" x14ac:dyDescent="0.25">
      <c r="A1121" s="2"/>
      <c r="B1121" s="137"/>
      <c r="C1121" s="1"/>
      <c r="D1121" s="1"/>
      <c r="E1121" s="1"/>
      <c r="F1121" s="1"/>
      <c r="G1121" s="1"/>
      <c r="H1121" s="2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</row>
    <row r="1122" spans="1:22" ht="13.2" x14ac:dyDescent="0.25">
      <c r="A1122" s="2"/>
      <c r="B1122" s="137"/>
      <c r="C1122" s="1"/>
      <c r="D1122" s="1"/>
      <c r="E1122" s="1"/>
      <c r="F1122" s="1"/>
      <c r="G1122" s="1"/>
      <c r="H1122" s="2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</row>
    <row r="1123" spans="1:22" ht="13.2" x14ac:dyDescent="0.25">
      <c r="A1123" s="2"/>
      <c r="B1123" s="137"/>
      <c r="C1123" s="1"/>
      <c r="D1123" s="1"/>
      <c r="E1123" s="1"/>
      <c r="F1123" s="1"/>
      <c r="G1123" s="1"/>
      <c r="H1123" s="2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</row>
    <row r="1124" spans="1:22" ht="13.2" x14ac:dyDescent="0.25">
      <c r="A1124" s="2"/>
      <c r="B1124" s="137"/>
      <c r="C1124" s="1"/>
      <c r="D1124" s="1"/>
      <c r="E1124" s="1"/>
      <c r="F1124" s="1"/>
      <c r="G1124" s="1"/>
      <c r="H1124" s="2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</row>
    <row r="1125" spans="1:22" ht="13.2" x14ac:dyDescent="0.25">
      <c r="A1125" s="2"/>
      <c r="B1125" s="137"/>
      <c r="C1125" s="1"/>
      <c r="D1125" s="1"/>
      <c r="E1125" s="1"/>
      <c r="F1125" s="1"/>
      <c r="G1125" s="1"/>
      <c r="H1125" s="2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</row>
    <row r="1126" spans="1:22" ht="13.2" x14ac:dyDescent="0.25">
      <c r="A1126" s="2"/>
      <c r="B1126" s="137"/>
      <c r="C1126" s="1"/>
      <c r="D1126" s="1"/>
      <c r="E1126" s="1"/>
      <c r="F1126" s="1"/>
      <c r="G1126" s="1"/>
      <c r="H1126" s="2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</row>
    <row r="1127" spans="1:22" ht="13.2" x14ac:dyDescent="0.25">
      <c r="A1127" s="2"/>
      <c r="B1127" s="137"/>
      <c r="C1127" s="1"/>
      <c r="D1127" s="1"/>
      <c r="E1127" s="1"/>
      <c r="F1127" s="1"/>
      <c r="G1127" s="1"/>
      <c r="H1127" s="2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</row>
    <row r="1128" spans="1:22" ht="13.2" x14ac:dyDescent="0.25">
      <c r="A1128" s="2"/>
      <c r="B1128" s="137"/>
      <c r="C1128" s="1"/>
      <c r="D1128" s="1"/>
      <c r="E1128" s="1"/>
      <c r="F1128" s="1"/>
      <c r="G1128" s="1"/>
      <c r="H1128" s="2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</row>
    <row r="1129" spans="1:22" ht="13.2" x14ac:dyDescent="0.25">
      <c r="A1129" s="2"/>
      <c r="B1129" s="137"/>
      <c r="C1129" s="1"/>
      <c r="D1129" s="1"/>
      <c r="E1129" s="1"/>
      <c r="F1129" s="1"/>
      <c r="G1129" s="1"/>
      <c r="H1129" s="2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</row>
    <row r="1130" spans="1:22" ht="13.2" x14ac:dyDescent="0.25">
      <c r="A1130" s="2"/>
      <c r="B1130" s="137"/>
      <c r="C1130" s="1"/>
      <c r="D1130" s="1"/>
      <c r="E1130" s="1"/>
      <c r="F1130" s="1"/>
      <c r="G1130" s="1"/>
      <c r="H1130" s="2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</row>
    <row r="1131" spans="1:22" ht="13.2" x14ac:dyDescent="0.25">
      <c r="A1131" s="2"/>
      <c r="B1131" s="137"/>
      <c r="C1131" s="1"/>
      <c r="D1131" s="1"/>
      <c r="E1131" s="1"/>
      <c r="F1131" s="1"/>
      <c r="G1131" s="1"/>
      <c r="H1131" s="2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</row>
    <row r="1132" spans="1:22" ht="13.2" x14ac:dyDescent="0.25">
      <c r="A1132" s="2"/>
      <c r="B1132" s="137"/>
      <c r="C1132" s="1"/>
      <c r="D1132" s="1"/>
      <c r="E1132" s="1"/>
      <c r="F1132" s="1"/>
      <c r="G1132" s="1"/>
      <c r="H1132" s="2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</row>
    <row r="1133" spans="1:22" ht="13.2" x14ac:dyDescent="0.25">
      <c r="A1133" s="2"/>
      <c r="B1133" s="137"/>
      <c r="C1133" s="1"/>
      <c r="D1133" s="1"/>
      <c r="E1133" s="1"/>
      <c r="F1133" s="1"/>
      <c r="G1133" s="1"/>
      <c r="H1133" s="2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</row>
    <row r="1134" spans="1:22" ht="13.2" x14ac:dyDescent="0.25">
      <c r="A1134" s="2"/>
      <c r="B1134" s="137"/>
      <c r="C1134" s="1"/>
      <c r="D1134" s="1"/>
      <c r="E1134" s="1"/>
      <c r="F1134" s="1"/>
      <c r="G1134" s="1"/>
      <c r="H1134" s="2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</row>
    <row r="1135" spans="1:22" ht="13.2" x14ac:dyDescent="0.25">
      <c r="A1135" s="2"/>
      <c r="B1135" s="137"/>
      <c r="C1135" s="1"/>
      <c r="D1135" s="1"/>
      <c r="E1135" s="1"/>
      <c r="F1135" s="1"/>
      <c r="G1135" s="1"/>
      <c r="H1135" s="2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</row>
    <row r="1136" spans="1:22" ht="13.2" x14ac:dyDescent="0.25">
      <c r="A1136" s="2"/>
      <c r="B1136" s="137"/>
      <c r="C1136" s="1"/>
      <c r="D1136" s="1"/>
      <c r="E1136" s="1"/>
      <c r="F1136" s="1"/>
      <c r="G1136" s="1"/>
      <c r="H1136" s="2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</row>
    <row r="1137" spans="1:22" ht="13.2" x14ac:dyDescent="0.25">
      <c r="A1137" s="2"/>
      <c r="B1137" s="137"/>
      <c r="C1137" s="1"/>
      <c r="D1137" s="1"/>
      <c r="E1137" s="1"/>
      <c r="F1137" s="1"/>
      <c r="G1137" s="1"/>
      <c r="H1137" s="2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</row>
    <row r="1138" spans="1:22" ht="13.2" x14ac:dyDescent="0.25">
      <c r="A1138" s="2"/>
      <c r="B1138" s="137"/>
      <c r="C1138" s="1"/>
      <c r="D1138" s="1"/>
      <c r="E1138" s="1"/>
      <c r="F1138" s="1"/>
      <c r="G1138" s="1"/>
      <c r="H1138" s="2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</row>
    <row r="1139" spans="1:22" ht="13.2" x14ac:dyDescent="0.25">
      <c r="A1139" s="2"/>
      <c r="B1139" s="137"/>
      <c r="C1139" s="1"/>
      <c r="D1139" s="1"/>
      <c r="E1139" s="1"/>
      <c r="F1139" s="1"/>
      <c r="G1139" s="1"/>
      <c r="H1139" s="2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</row>
    <row r="1140" spans="1:22" ht="13.2" x14ac:dyDescent="0.25">
      <c r="A1140" s="2"/>
      <c r="B1140" s="137"/>
      <c r="C1140" s="1"/>
      <c r="D1140" s="1"/>
      <c r="E1140" s="1"/>
      <c r="F1140" s="1"/>
      <c r="G1140" s="1"/>
      <c r="H1140" s="2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</row>
    <row r="1141" spans="1:22" ht="13.2" x14ac:dyDescent="0.25">
      <c r="A1141" s="2"/>
      <c r="B1141" s="137"/>
      <c r="C1141" s="1"/>
      <c r="D1141" s="1"/>
      <c r="E1141" s="1"/>
      <c r="F1141" s="1"/>
      <c r="G1141" s="1"/>
      <c r="H1141" s="2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</row>
    <row r="1142" spans="1:22" ht="13.2" x14ac:dyDescent="0.25">
      <c r="A1142" s="2"/>
      <c r="B1142" s="137"/>
      <c r="C1142" s="1"/>
      <c r="D1142" s="1"/>
      <c r="E1142" s="1"/>
      <c r="F1142" s="1"/>
      <c r="G1142" s="1"/>
      <c r="H1142" s="2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</row>
    <row r="1143" spans="1:22" ht="13.2" x14ac:dyDescent="0.25">
      <c r="A1143" s="2"/>
      <c r="B1143" s="137"/>
      <c r="C1143" s="1"/>
      <c r="D1143" s="1"/>
      <c r="E1143" s="1"/>
      <c r="F1143" s="1"/>
      <c r="G1143" s="1"/>
      <c r="H1143" s="2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</row>
    <row r="1144" spans="1:22" ht="13.2" x14ac:dyDescent="0.25">
      <c r="A1144" s="2"/>
      <c r="B1144" s="137"/>
      <c r="C1144" s="1"/>
      <c r="D1144" s="1"/>
      <c r="E1144" s="1"/>
      <c r="F1144" s="1"/>
      <c r="G1144" s="1"/>
      <c r="H1144" s="2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</row>
    <row r="1145" spans="1:22" ht="13.2" x14ac:dyDescent="0.25">
      <c r="A1145" s="2"/>
      <c r="B1145" s="137"/>
      <c r="C1145" s="1"/>
      <c r="D1145" s="1"/>
      <c r="E1145" s="1"/>
      <c r="F1145" s="1"/>
      <c r="G1145" s="1"/>
      <c r="H1145" s="2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</row>
    <row r="1146" spans="1:22" ht="13.2" x14ac:dyDescent="0.25">
      <c r="A1146" s="2"/>
      <c r="B1146" s="137"/>
      <c r="C1146" s="1"/>
      <c r="D1146" s="1"/>
      <c r="E1146" s="1"/>
      <c r="F1146" s="1"/>
      <c r="G1146" s="1"/>
      <c r="H1146" s="2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</row>
    <row r="1147" spans="1:22" ht="13.2" x14ac:dyDescent="0.25">
      <c r="A1147" s="2"/>
      <c r="B1147" s="137"/>
      <c r="C1147" s="1"/>
      <c r="D1147" s="1"/>
      <c r="E1147" s="1"/>
      <c r="F1147" s="1"/>
      <c r="G1147" s="1"/>
      <c r="H1147" s="2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</row>
    <row r="1148" spans="1:22" ht="13.2" x14ac:dyDescent="0.25">
      <c r="A1148" s="2"/>
      <c r="B1148" s="137"/>
      <c r="C1148" s="1"/>
      <c r="D1148" s="1"/>
      <c r="E1148" s="1"/>
      <c r="F1148" s="1"/>
      <c r="G1148" s="1"/>
      <c r="H1148" s="2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</row>
    <row r="1149" spans="1:22" ht="13.2" x14ac:dyDescent="0.25">
      <c r="A1149" s="2"/>
      <c r="B1149" s="137"/>
      <c r="C1149" s="1"/>
      <c r="D1149" s="1"/>
      <c r="E1149" s="1"/>
      <c r="F1149" s="1"/>
      <c r="G1149" s="1"/>
      <c r="H1149" s="2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</row>
    <row r="1150" spans="1:22" ht="13.2" x14ac:dyDescent="0.25">
      <c r="A1150" s="2"/>
      <c r="B1150" s="137"/>
      <c r="C1150" s="1"/>
      <c r="D1150" s="1"/>
      <c r="E1150" s="1"/>
      <c r="F1150" s="1"/>
      <c r="G1150" s="1"/>
      <c r="H1150" s="2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</row>
    <row r="1151" spans="1:22" ht="13.2" x14ac:dyDescent="0.25">
      <c r="A1151" s="2"/>
      <c r="B1151" s="137"/>
      <c r="C1151" s="1"/>
      <c r="D1151" s="1"/>
      <c r="E1151" s="1"/>
      <c r="F1151" s="1"/>
      <c r="G1151" s="1"/>
      <c r="H1151" s="2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</row>
    <row r="1152" spans="1:22" ht="13.2" x14ac:dyDescent="0.25">
      <c r="A1152" s="2"/>
      <c r="B1152" s="137"/>
      <c r="C1152" s="1"/>
      <c r="D1152" s="1"/>
      <c r="E1152" s="1"/>
      <c r="F1152" s="1"/>
      <c r="G1152" s="1"/>
      <c r="H1152" s="2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</row>
    <row r="1153" spans="1:22" ht="13.2" x14ac:dyDescent="0.25">
      <c r="A1153" s="2"/>
      <c r="B1153" s="137"/>
      <c r="C1153" s="1"/>
      <c r="D1153" s="1"/>
      <c r="E1153" s="1"/>
      <c r="F1153" s="1"/>
      <c r="G1153" s="1"/>
      <c r="H1153" s="2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</row>
    <row r="1154" spans="1:22" ht="13.2" x14ac:dyDescent="0.25">
      <c r="A1154" s="2"/>
      <c r="B1154" s="137"/>
      <c r="C1154" s="1"/>
      <c r="D1154" s="1"/>
      <c r="E1154" s="1"/>
      <c r="F1154" s="1"/>
      <c r="G1154" s="1"/>
      <c r="H1154" s="2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</row>
    <row r="1155" spans="1:22" ht="13.2" x14ac:dyDescent="0.25">
      <c r="A1155" s="2"/>
      <c r="B1155" s="137"/>
      <c r="C1155" s="1"/>
      <c r="D1155" s="1"/>
      <c r="E1155" s="1"/>
      <c r="F1155" s="1"/>
      <c r="G1155" s="1"/>
      <c r="H1155" s="2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</row>
    <row r="1156" spans="1:22" ht="13.2" x14ac:dyDescent="0.25">
      <c r="A1156" s="2"/>
      <c r="B1156" s="137"/>
      <c r="C1156" s="1"/>
      <c r="D1156" s="1"/>
      <c r="E1156" s="1"/>
      <c r="F1156" s="1"/>
      <c r="G1156" s="1"/>
      <c r="H1156" s="2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</row>
    <row r="1157" spans="1:22" ht="13.2" x14ac:dyDescent="0.25">
      <c r="A1157" s="2"/>
      <c r="B1157" s="137"/>
      <c r="C1157" s="1"/>
      <c r="D1157" s="1"/>
      <c r="E1157" s="1"/>
      <c r="F1157" s="1"/>
      <c r="G1157" s="1"/>
      <c r="H1157" s="2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</row>
    <row r="1158" spans="1:22" ht="13.2" x14ac:dyDescent="0.25">
      <c r="A1158" s="2"/>
      <c r="B1158" s="137"/>
      <c r="C1158" s="1"/>
      <c r="D1158" s="1"/>
      <c r="E1158" s="1"/>
      <c r="F1158" s="1"/>
      <c r="G1158" s="1"/>
      <c r="H1158" s="2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</row>
    <row r="1159" spans="1:22" ht="13.2" x14ac:dyDescent="0.25">
      <c r="A1159" s="2"/>
      <c r="B1159" s="137"/>
      <c r="C1159" s="1"/>
      <c r="D1159" s="1"/>
      <c r="E1159" s="1"/>
      <c r="F1159" s="1"/>
      <c r="G1159" s="1"/>
      <c r="H1159" s="2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</row>
    <row r="1160" spans="1:22" ht="13.2" x14ac:dyDescent="0.25">
      <c r="A1160" s="2"/>
      <c r="B1160" s="137"/>
      <c r="C1160" s="1"/>
      <c r="D1160" s="1"/>
      <c r="E1160" s="1"/>
      <c r="F1160" s="1"/>
      <c r="G1160" s="1"/>
      <c r="H1160" s="2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</row>
    <row r="1161" spans="1:22" ht="13.2" x14ac:dyDescent="0.25">
      <c r="A1161" s="2"/>
      <c r="B1161" s="137"/>
      <c r="C1161" s="1"/>
      <c r="D1161" s="1"/>
      <c r="E1161" s="1"/>
      <c r="F1161" s="1"/>
      <c r="G1161" s="1"/>
      <c r="H1161" s="2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</row>
    <row r="1162" spans="1:22" ht="13.2" x14ac:dyDescent="0.25">
      <c r="A1162" s="2"/>
      <c r="B1162" s="137"/>
      <c r="C1162" s="1"/>
      <c r="D1162" s="1"/>
      <c r="E1162" s="1"/>
      <c r="F1162" s="1"/>
      <c r="G1162" s="1"/>
      <c r="H1162" s="2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</row>
    <row r="1163" spans="1:22" ht="13.2" x14ac:dyDescent="0.25">
      <c r="A1163" s="2"/>
      <c r="B1163" s="137"/>
      <c r="C1163" s="1"/>
      <c r="D1163" s="1"/>
      <c r="E1163" s="1"/>
      <c r="F1163" s="1"/>
      <c r="G1163" s="1"/>
      <c r="H1163" s="2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</row>
    <row r="1164" spans="1:22" ht="13.2" x14ac:dyDescent="0.25">
      <c r="A1164" s="2"/>
      <c r="B1164" s="137"/>
      <c r="C1164" s="1"/>
      <c r="D1164" s="1"/>
      <c r="E1164" s="1"/>
      <c r="F1164" s="1"/>
      <c r="G1164" s="1"/>
      <c r="H1164" s="2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</row>
    <row r="1165" spans="1:22" ht="13.2" x14ac:dyDescent="0.25">
      <c r="A1165" s="2"/>
      <c r="B1165" s="137"/>
      <c r="C1165" s="1"/>
      <c r="D1165" s="1"/>
      <c r="E1165" s="1"/>
      <c r="F1165" s="1"/>
      <c r="G1165" s="1"/>
      <c r="H1165" s="2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</row>
    <row r="1166" spans="1:22" ht="13.2" x14ac:dyDescent="0.25">
      <c r="A1166" s="2"/>
      <c r="B1166" s="137"/>
      <c r="C1166" s="1"/>
      <c r="D1166" s="1"/>
      <c r="E1166" s="1"/>
      <c r="F1166" s="1"/>
      <c r="G1166" s="1"/>
      <c r="H1166" s="2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</row>
    <row r="1167" spans="1:22" ht="13.2" x14ac:dyDescent="0.25">
      <c r="A1167" s="2"/>
      <c r="B1167" s="137"/>
      <c r="C1167" s="1"/>
      <c r="D1167" s="1"/>
      <c r="E1167" s="1"/>
      <c r="F1167" s="1"/>
      <c r="G1167" s="1"/>
      <c r="H1167" s="2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</row>
    <row r="1168" spans="1:22" ht="13.2" x14ac:dyDescent="0.25">
      <c r="A1168" s="2"/>
      <c r="B1168" s="137"/>
      <c r="C1168" s="1"/>
      <c r="D1168" s="1"/>
      <c r="E1168" s="1"/>
      <c r="F1168" s="1"/>
      <c r="G1168" s="1"/>
      <c r="H1168" s="2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</row>
    <row r="1169" spans="1:22" ht="13.2" x14ac:dyDescent="0.25">
      <c r="A1169" s="2"/>
      <c r="B1169" s="137"/>
      <c r="C1169" s="1"/>
      <c r="D1169" s="1"/>
      <c r="E1169" s="1"/>
      <c r="F1169" s="1"/>
      <c r="G1169" s="1"/>
      <c r="H1169" s="2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</row>
    <row r="1170" spans="1:22" ht="13.2" x14ac:dyDescent="0.25">
      <c r="A1170" s="2"/>
      <c r="B1170" s="137"/>
      <c r="C1170" s="1"/>
      <c r="D1170" s="1"/>
      <c r="E1170" s="1"/>
      <c r="F1170" s="1"/>
      <c r="G1170" s="1"/>
      <c r="H1170" s="2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</row>
    <row r="1171" spans="1:22" ht="13.2" x14ac:dyDescent="0.25">
      <c r="A1171" s="2"/>
      <c r="B1171" s="137"/>
      <c r="C1171" s="1"/>
      <c r="D1171" s="1"/>
      <c r="E1171" s="1"/>
      <c r="F1171" s="1"/>
      <c r="G1171" s="1"/>
      <c r="H1171" s="2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</row>
    <row r="1172" spans="1:22" ht="13.2" x14ac:dyDescent="0.25">
      <c r="A1172" s="2"/>
      <c r="B1172" s="137"/>
      <c r="C1172" s="1"/>
      <c r="D1172" s="1"/>
      <c r="E1172" s="1"/>
      <c r="F1172" s="1"/>
      <c r="G1172" s="1"/>
      <c r="H1172" s="2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</row>
    <row r="1173" spans="1:22" ht="13.2" x14ac:dyDescent="0.25">
      <c r="A1173" s="2"/>
      <c r="B1173" s="137"/>
      <c r="C1173" s="1"/>
      <c r="D1173" s="1"/>
      <c r="E1173" s="1"/>
      <c r="F1173" s="1"/>
      <c r="G1173" s="1"/>
      <c r="H1173" s="2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</row>
    <row r="1174" spans="1:22" ht="13.2" x14ac:dyDescent="0.25">
      <c r="A1174" s="2"/>
      <c r="B1174" s="137"/>
      <c r="C1174" s="1"/>
      <c r="D1174" s="1"/>
      <c r="E1174" s="1"/>
      <c r="F1174" s="1"/>
      <c r="G1174" s="1"/>
      <c r="H1174" s="2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</row>
    <row r="1175" spans="1:22" ht="13.2" x14ac:dyDescent="0.25">
      <c r="A1175" s="2"/>
      <c r="B1175" s="137"/>
      <c r="C1175" s="1"/>
      <c r="D1175" s="1"/>
      <c r="E1175" s="1"/>
      <c r="F1175" s="1"/>
      <c r="G1175" s="1"/>
      <c r="H1175" s="2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</row>
    <row r="1176" spans="1:22" ht="13.2" x14ac:dyDescent="0.25">
      <c r="A1176" s="2"/>
      <c r="B1176" s="137"/>
      <c r="C1176" s="1"/>
      <c r="D1176" s="1"/>
      <c r="E1176" s="1"/>
      <c r="F1176" s="1"/>
      <c r="G1176" s="1"/>
      <c r="H1176" s="2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</row>
    <row r="1177" spans="1:22" ht="13.2" x14ac:dyDescent="0.25">
      <c r="A1177" s="2"/>
      <c r="B1177" s="137"/>
      <c r="C1177" s="1"/>
      <c r="D1177" s="1"/>
      <c r="E1177" s="1"/>
      <c r="F1177" s="1"/>
      <c r="G1177" s="1"/>
      <c r="H1177" s="2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</row>
    <row r="1178" spans="1:22" ht="13.2" x14ac:dyDescent="0.25">
      <c r="A1178" s="2"/>
      <c r="B1178" s="137"/>
      <c r="C1178" s="1"/>
      <c r="D1178" s="1"/>
      <c r="E1178" s="1"/>
      <c r="F1178" s="1"/>
      <c r="G1178" s="1"/>
      <c r="H1178" s="2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</row>
    <row r="1179" spans="1:22" ht="13.2" x14ac:dyDescent="0.25">
      <c r="A1179" s="2"/>
      <c r="B1179" s="137"/>
      <c r="C1179" s="1"/>
      <c r="D1179" s="1"/>
      <c r="E1179" s="1"/>
      <c r="F1179" s="1"/>
      <c r="G1179" s="1"/>
      <c r="H1179" s="2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</row>
    <row r="1180" spans="1:22" ht="13.2" x14ac:dyDescent="0.25">
      <c r="A1180" s="2"/>
      <c r="B1180" s="137"/>
      <c r="C1180" s="1"/>
      <c r="D1180" s="1"/>
      <c r="E1180" s="1"/>
      <c r="F1180" s="1"/>
      <c r="G1180" s="1"/>
      <c r="H1180" s="2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</row>
    <row r="1181" spans="1:22" ht="13.2" x14ac:dyDescent="0.25">
      <c r="A1181" s="2"/>
      <c r="B1181" s="137"/>
      <c r="C1181" s="1"/>
      <c r="D1181" s="1"/>
      <c r="E1181" s="1"/>
      <c r="F1181" s="1"/>
      <c r="G1181" s="1"/>
      <c r="H1181" s="2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</row>
    <row r="1182" spans="1:22" ht="13.2" x14ac:dyDescent="0.25">
      <c r="A1182" s="2"/>
      <c r="B1182" s="137"/>
      <c r="C1182" s="1"/>
      <c r="D1182" s="1"/>
      <c r="E1182" s="1"/>
      <c r="F1182" s="1"/>
      <c r="G1182" s="1"/>
      <c r="H1182" s="2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</row>
    <row r="1183" spans="1:22" ht="13.2" x14ac:dyDescent="0.25">
      <c r="A1183" s="2"/>
      <c r="B1183" s="137"/>
      <c r="C1183" s="1"/>
      <c r="D1183" s="1"/>
      <c r="E1183" s="1"/>
      <c r="F1183" s="1"/>
      <c r="G1183" s="1"/>
      <c r="H1183" s="2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</row>
    <row r="1184" spans="1:22" ht="13.2" x14ac:dyDescent="0.25">
      <c r="A1184" s="2"/>
      <c r="B1184" s="137"/>
      <c r="C1184" s="1"/>
      <c r="D1184" s="1"/>
      <c r="E1184" s="1"/>
      <c r="F1184" s="1"/>
      <c r="G1184" s="1"/>
      <c r="H1184" s="2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</row>
    <row r="1185" spans="1:22" ht="13.2" x14ac:dyDescent="0.25">
      <c r="A1185" s="2"/>
      <c r="B1185" s="137"/>
      <c r="C1185" s="1"/>
      <c r="D1185" s="1"/>
      <c r="E1185" s="1"/>
      <c r="F1185" s="1"/>
      <c r="G1185" s="1"/>
      <c r="H1185" s="2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</row>
    <row r="1186" spans="1:22" ht="13.2" x14ac:dyDescent="0.25">
      <c r="A1186" s="2"/>
      <c r="B1186" s="137"/>
      <c r="C1186" s="1"/>
      <c r="D1186" s="1"/>
      <c r="E1186" s="1"/>
      <c r="F1186" s="1"/>
      <c r="G1186" s="1"/>
      <c r="H1186" s="2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</row>
    <row r="1187" spans="1:22" ht="13.2" x14ac:dyDescent="0.25">
      <c r="A1187" s="2"/>
      <c r="B1187" s="137"/>
      <c r="C1187" s="1"/>
      <c r="D1187" s="1"/>
      <c r="E1187" s="1"/>
      <c r="F1187" s="1"/>
      <c r="G1187" s="1"/>
      <c r="H1187" s="2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</row>
    <row r="1188" spans="1:22" ht="13.2" x14ac:dyDescent="0.25">
      <c r="A1188" s="2"/>
      <c r="B1188" s="137"/>
      <c r="C1188" s="1"/>
      <c r="D1188" s="1"/>
      <c r="E1188" s="1"/>
      <c r="F1188" s="1"/>
      <c r="G1188" s="1"/>
      <c r="H1188" s="2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</row>
    <row r="1189" spans="1:22" ht="13.2" x14ac:dyDescent="0.25">
      <c r="A1189" s="2"/>
      <c r="B1189" s="137"/>
      <c r="C1189" s="1"/>
      <c r="D1189" s="1"/>
      <c r="E1189" s="1"/>
      <c r="F1189" s="1"/>
      <c r="G1189" s="1"/>
      <c r="H1189" s="2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</row>
    <row r="1190" spans="1:22" ht="13.2" x14ac:dyDescent="0.25">
      <c r="A1190" s="2"/>
      <c r="B1190" s="137"/>
      <c r="C1190" s="1"/>
      <c r="D1190" s="1"/>
      <c r="E1190" s="1"/>
      <c r="F1190" s="1"/>
      <c r="G1190" s="1"/>
      <c r="H1190" s="2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</row>
    <row r="1191" spans="1:22" ht="13.2" x14ac:dyDescent="0.25">
      <c r="A1191" s="2"/>
      <c r="B1191" s="137"/>
      <c r="C1191" s="1"/>
      <c r="D1191" s="1"/>
      <c r="E1191" s="1"/>
      <c r="F1191" s="1"/>
      <c r="G1191" s="1"/>
      <c r="H1191" s="2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</row>
    <row r="1192" spans="1:22" ht="13.2" x14ac:dyDescent="0.25">
      <c r="A1192" s="2"/>
      <c r="B1192" s="137"/>
      <c r="C1192" s="1"/>
      <c r="D1192" s="1"/>
      <c r="E1192" s="1"/>
      <c r="F1192" s="1"/>
      <c r="G1192" s="1"/>
      <c r="H1192" s="2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</row>
    <row r="1193" spans="1:22" ht="13.2" x14ac:dyDescent="0.25">
      <c r="A1193" s="2"/>
      <c r="B1193" s="137"/>
      <c r="C1193" s="1"/>
      <c r="D1193" s="1"/>
      <c r="E1193" s="1"/>
      <c r="F1193" s="1"/>
      <c r="G1193" s="1"/>
      <c r="H1193" s="2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</row>
    <row r="1194" spans="1:22" ht="13.2" x14ac:dyDescent="0.25">
      <c r="A1194" s="2"/>
      <c r="B1194" s="137"/>
      <c r="C1194" s="1"/>
      <c r="D1194" s="1"/>
      <c r="E1194" s="1"/>
      <c r="F1194" s="1"/>
      <c r="G1194" s="1"/>
      <c r="H1194" s="2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</row>
    <row r="1195" spans="1:22" ht="13.2" x14ac:dyDescent="0.25">
      <c r="A1195" s="2"/>
      <c r="B1195" s="137"/>
      <c r="C1195" s="1"/>
      <c r="D1195" s="1"/>
      <c r="E1195" s="1"/>
      <c r="F1195" s="1"/>
      <c r="G1195" s="1"/>
      <c r="H1195" s="2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</row>
    <row r="1196" spans="1:22" ht="13.2" x14ac:dyDescent="0.25">
      <c r="A1196" s="2"/>
      <c r="B1196" s="137"/>
      <c r="C1196" s="1"/>
      <c r="D1196" s="1"/>
      <c r="E1196" s="1"/>
      <c r="F1196" s="1"/>
      <c r="G1196" s="1"/>
      <c r="H1196" s="2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</row>
    <row r="1197" spans="1:22" ht="13.2" x14ac:dyDescent="0.25">
      <c r="A1197" s="2"/>
      <c r="B1197" s="137"/>
      <c r="C1197" s="1"/>
      <c r="D1197" s="1"/>
      <c r="E1197" s="1"/>
      <c r="F1197" s="1"/>
      <c r="G1197" s="1"/>
      <c r="H1197" s="2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</row>
    <row r="1198" spans="1:22" ht="13.2" x14ac:dyDescent="0.25">
      <c r="A1198" s="2"/>
      <c r="B1198" s="137"/>
      <c r="C1198" s="1"/>
      <c r="D1198" s="1"/>
      <c r="E1198" s="1"/>
      <c r="F1198" s="1"/>
      <c r="G1198" s="1"/>
      <c r="H1198" s="2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</row>
    <row r="1199" spans="1:22" ht="13.2" x14ac:dyDescent="0.25">
      <c r="A1199" s="2"/>
      <c r="B1199" s="137"/>
      <c r="C1199" s="1"/>
      <c r="D1199" s="1"/>
      <c r="E1199" s="1"/>
      <c r="F1199" s="1"/>
      <c r="G1199" s="1"/>
      <c r="H1199" s="2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</row>
    <row r="1200" spans="1:22" ht="13.2" x14ac:dyDescent="0.25">
      <c r="A1200" s="2"/>
      <c r="B1200" s="137"/>
      <c r="C1200" s="1"/>
      <c r="D1200" s="1"/>
      <c r="E1200" s="1"/>
      <c r="F1200" s="1"/>
      <c r="G1200" s="1"/>
      <c r="H1200" s="2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</row>
    <row r="1201" spans="1:22" ht="13.2" x14ac:dyDescent="0.25">
      <c r="A1201" s="2"/>
      <c r="B1201" s="137"/>
      <c r="C1201" s="1"/>
      <c r="D1201" s="1"/>
      <c r="E1201" s="1"/>
      <c r="F1201" s="1"/>
      <c r="G1201" s="1"/>
      <c r="H1201" s="2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</row>
    <row r="1202" spans="1:22" ht="13.2" x14ac:dyDescent="0.25">
      <c r="A1202" s="2"/>
      <c r="B1202" s="137"/>
      <c r="C1202" s="1"/>
      <c r="D1202" s="1"/>
      <c r="E1202" s="1"/>
      <c r="F1202" s="1"/>
      <c r="G1202" s="1"/>
      <c r="H1202" s="2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</row>
    <row r="1203" spans="1:22" ht="13.2" x14ac:dyDescent="0.25">
      <c r="A1203" s="138"/>
      <c r="B1203" s="139"/>
      <c r="H1203" s="138"/>
    </row>
  </sheetData>
  <mergeCells count="2">
    <mergeCell ref="A6:F6"/>
    <mergeCell ref="A354:F35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21"/>
  <sheetViews>
    <sheetView workbookViewId="0"/>
  </sheetViews>
  <sheetFormatPr defaultColWidth="12.6640625" defaultRowHeight="15.75" customHeight="1" outlineLevelRow="1" outlineLevelCol="1" x14ac:dyDescent="0.25"/>
  <cols>
    <col min="1" max="1" width="7.88671875" customWidth="1"/>
    <col min="2" max="2" width="54.77734375" customWidth="1"/>
    <col min="3" max="3" width="5.88671875" customWidth="1"/>
    <col min="4" max="4" width="6" customWidth="1"/>
    <col min="5" max="5" width="10" customWidth="1" collapsed="1"/>
    <col min="6" max="6" width="11.77734375" hidden="1" customWidth="1" outlineLevel="1"/>
    <col min="7" max="7" width="7.44140625" hidden="1" customWidth="1" outlineLevel="1"/>
    <col min="8" max="8" width="9.88671875" hidden="1" customWidth="1" outlineLevel="1"/>
    <col min="9" max="9" width="12.6640625" hidden="1" outlineLevel="1"/>
    <col min="10" max="10" width="10.77734375" customWidth="1"/>
    <col min="11" max="11" width="12.109375" customWidth="1"/>
    <col min="12" max="12" width="9.33203125" customWidth="1"/>
    <col min="13" max="13" width="13" customWidth="1"/>
    <col min="14" max="14" width="11.21875" customWidth="1"/>
  </cols>
  <sheetData>
    <row r="1" spans="1:25" ht="14.4" x14ac:dyDescent="0.3">
      <c r="A1" s="140" t="s">
        <v>387</v>
      </c>
      <c r="B1" s="141"/>
      <c r="C1" s="270"/>
      <c r="D1" s="259"/>
      <c r="E1" s="259"/>
      <c r="F1" s="141"/>
      <c r="G1" s="141"/>
      <c r="H1" s="141"/>
      <c r="I1" s="141"/>
      <c r="J1" s="1"/>
      <c r="K1" s="141"/>
      <c r="L1" s="271" t="s">
        <v>2</v>
      </c>
      <c r="M1" s="272"/>
      <c r="N1" s="273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4.4" x14ac:dyDescent="0.3">
      <c r="A2" s="142" t="s">
        <v>3</v>
      </c>
      <c r="B2" s="10"/>
      <c r="C2" s="270"/>
      <c r="D2" s="259"/>
      <c r="E2" s="12"/>
      <c r="F2" s="12"/>
      <c r="G2" s="12"/>
      <c r="H2" s="12"/>
      <c r="I2" s="12"/>
      <c r="J2" s="12"/>
      <c r="K2" s="12"/>
      <c r="L2" s="259"/>
      <c r="M2" s="259"/>
      <c r="N2" s="274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4.4" x14ac:dyDescent="0.25">
      <c r="A3" s="143" t="s">
        <v>388</v>
      </c>
      <c r="B3" s="144"/>
      <c r="C3" s="11"/>
      <c r="D3" s="11"/>
      <c r="E3" s="12"/>
      <c r="F3" s="12"/>
      <c r="G3" s="12"/>
      <c r="H3" s="12"/>
      <c r="I3" s="12"/>
      <c r="J3" s="12"/>
      <c r="K3" s="12"/>
      <c r="L3" s="12"/>
      <c r="M3" s="12"/>
      <c r="N3" s="145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7.399999999999999" x14ac:dyDescent="0.35">
      <c r="A4" s="275" t="s">
        <v>389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74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3.2" x14ac:dyDescent="0.25">
      <c r="A5" s="146"/>
      <c r="B5" s="50"/>
      <c r="C5" s="147"/>
      <c r="D5" s="147"/>
      <c r="E5" s="50"/>
      <c r="F5" s="50"/>
      <c r="G5" s="50"/>
      <c r="H5" s="50"/>
      <c r="I5" s="50"/>
      <c r="J5" s="50"/>
      <c r="K5" s="50"/>
      <c r="L5" s="50"/>
      <c r="M5" s="50"/>
      <c r="N5" s="148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4.4" x14ac:dyDescent="0.3">
      <c r="A6" s="276" t="s">
        <v>6</v>
      </c>
      <c r="B6" s="277" t="s">
        <v>233</v>
      </c>
      <c r="C6" s="267" t="s">
        <v>8</v>
      </c>
      <c r="D6" s="267" t="s">
        <v>9</v>
      </c>
      <c r="E6" s="268" t="s">
        <v>234</v>
      </c>
      <c r="F6" s="267" t="s">
        <v>390</v>
      </c>
      <c r="G6" s="259"/>
      <c r="H6" s="259"/>
      <c r="I6" s="269"/>
      <c r="J6" s="267"/>
      <c r="K6" s="259"/>
      <c r="L6" s="259"/>
      <c r="M6" s="259"/>
      <c r="N6" s="259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4.4" x14ac:dyDescent="0.3">
      <c r="A7" s="259"/>
      <c r="B7" s="259"/>
      <c r="C7" s="259"/>
      <c r="D7" s="259"/>
      <c r="E7" s="269"/>
      <c r="F7" s="149" t="s">
        <v>391</v>
      </c>
      <c r="G7" s="149" t="s">
        <v>238</v>
      </c>
      <c r="H7" s="149" t="s">
        <v>392</v>
      </c>
      <c r="I7" s="150" t="s">
        <v>393</v>
      </c>
      <c r="J7" s="149" t="s">
        <v>391</v>
      </c>
      <c r="K7" s="149" t="s">
        <v>238</v>
      </c>
      <c r="L7" s="149" t="s">
        <v>392</v>
      </c>
      <c r="M7" s="149" t="s">
        <v>394</v>
      </c>
      <c r="N7" s="149" t="s">
        <v>395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4.4" collapsed="1" x14ac:dyDescent="0.3">
      <c r="A8" s="151">
        <f>'1. BRIEFING'!A8</f>
        <v>1</v>
      </c>
      <c r="B8" s="152" t="str">
        <f>'1. BRIEFING'!B8</f>
        <v>SERVIÇOS ADIMINSTRATIVOS</v>
      </c>
      <c r="C8" s="153">
        <f>'1. BRIEFING'!C8</f>
        <v>0</v>
      </c>
      <c r="D8" s="154"/>
      <c r="E8" s="155"/>
      <c r="F8" s="156"/>
      <c r="G8" s="156"/>
      <c r="H8" s="156"/>
      <c r="I8" s="157"/>
      <c r="J8" s="158">
        <f t="shared" ref="J8:N8" si="0">SUM(J9:J13)</f>
        <v>0</v>
      </c>
      <c r="K8" s="158">
        <f t="shared" si="0"/>
        <v>0</v>
      </c>
      <c r="L8" s="158">
        <f t="shared" si="0"/>
        <v>0</v>
      </c>
      <c r="M8" s="158">
        <f t="shared" si="0"/>
        <v>0</v>
      </c>
      <c r="N8" s="158">
        <f t="shared" si="0"/>
        <v>0</v>
      </c>
      <c r="O8" s="159">
        <f>N8/$N$92</f>
        <v>0</v>
      </c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4.4" hidden="1" outlineLevel="1" x14ac:dyDescent="0.3">
      <c r="A9" s="160" t="str">
        <f>'1. BRIEFING'!A9</f>
        <v>1.1</v>
      </c>
      <c r="B9" s="161" t="str">
        <f>'1. BRIEFING'!B9</f>
        <v>ADMINISTRAÇÃO DE OBRA</v>
      </c>
      <c r="C9" s="162" t="str">
        <f>'1. BRIEFING'!C9</f>
        <v>MES</v>
      </c>
      <c r="D9" s="163">
        <f>'1. BRIEFING'!D9</f>
        <v>1</v>
      </c>
      <c r="E9" s="164">
        <f t="shared" ref="E9:E13" si="1">I9</f>
        <v>0</v>
      </c>
      <c r="F9" s="165">
        <v>0</v>
      </c>
      <c r="G9" s="165">
        <v>0</v>
      </c>
      <c r="H9" s="165">
        <v>0</v>
      </c>
      <c r="I9" s="166">
        <f t="shared" ref="I9:I13" si="2">SUM(F9:H9)</f>
        <v>0</v>
      </c>
      <c r="J9" s="104">
        <f t="shared" ref="J9:J13" si="3">F9*D9</f>
        <v>0</v>
      </c>
      <c r="K9" s="104">
        <f t="shared" ref="K9:K13" si="4">G9*D9</f>
        <v>0</v>
      </c>
      <c r="L9" s="104">
        <f t="shared" ref="L9:L13" si="5">H9*D9</f>
        <v>0</v>
      </c>
      <c r="M9" s="104">
        <f t="shared" ref="M9:M13" si="6">SUM(J9:L9)</f>
        <v>0</v>
      </c>
      <c r="N9" s="104">
        <f t="shared" ref="N9:N13" si="7">M9*(1+$N$96)</f>
        <v>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4.4" hidden="1" outlineLevel="1" x14ac:dyDescent="0.3">
      <c r="A10" s="160" t="str">
        <f>'1. BRIEFING'!A10</f>
        <v>1.2</v>
      </c>
      <c r="B10" s="161" t="str">
        <f>'1. BRIEFING'!B10</f>
        <v>TRANSPORTE E ALIMENTAÇÃO EQP ADM</v>
      </c>
      <c r="C10" s="162" t="str">
        <f>'1. BRIEFING'!C10</f>
        <v>MES</v>
      </c>
      <c r="D10" s="163">
        <f>'1. BRIEFING'!D10</f>
        <v>1</v>
      </c>
      <c r="E10" s="164">
        <f t="shared" si="1"/>
        <v>0</v>
      </c>
      <c r="F10" s="165">
        <v>0</v>
      </c>
      <c r="G10" s="165">
        <v>0</v>
      </c>
      <c r="H10" s="165">
        <v>0</v>
      </c>
      <c r="I10" s="166">
        <f t="shared" si="2"/>
        <v>0</v>
      </c>
      <c r="J10" s="104">
        <f t="shared" si="3"/>
        <v>0</v>
      </c>
      <c r="K10" s="104">
        <f t="shared" si="4"/>
        <v>0</v>
      </c>
      <c r="L10" s="104">
        <f t="shared" si="5"/>
        <v>0</v>
      </c>
      <c r="M10" s="104">
        <f t="shared" si="6"/>
        <v>0</v>
      </c>
      <c r="N10" s="104">
        <f t="shared" si="7"/>
        <v>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4.4" hidden="1" outlineLevel="1" x14ac:dyDescent="0.3">
      <c r="A11" s="160" t="str">
        <f>'1. BRIEFING'!A11</f>
        <v>1.3</v>
      </c>
      <c r="B11" s="161" t="str">
        <f>'1. BRIEFING'!B11</f>
        <v>ART DE EXECUÇÃO DA OBRA</v>
      </c>
      <c r="C11" s="162" t="str">
        <f>'1. BRIEFING'!C11</f>
        <v>UN</v>
      </c>
      <c r="D11" s="163">
        <f>'1. BRIEFING'!D11</f>
        <v>1</v>
      </c>
      <c r="E11" s="164">
        <f t="shared" si="1"/>
        <v>0</v>
      </c>
      <c r="F11" s="165">
        <v>0</v>
      </c>
      <c r="G11" s="165">
        <v>0</v>
      </c>
      <c r="H11" s="165">
        <v>0</v>
      </c>
      <c r="I11" s="166">
        <f t="shared" si="2"/>
        <v>0</v>
      </c>
      <c r="J11" s="104">
        <f t="shared" si="3"/>
        <v>0</v>
      </c>
      <c r="K11" s="104">
        <f t="shared" si="4"/>
        <v>0</v>
      </c>
      <c r="L11" s="104">
        <f t="shared" si="5"/>
        <v>0</v>
      </c>
      <c r="M11" s="104">
        <f t="shared" si="6"/>
        <v>0</v>
      </c>
      <c r="N11" s="104">
        <f t="shared" si="7"/>
        <v>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4.4" hidden="1" outlineLevel="1" x14ac:dyDescent="0.3">
      <c r="A12" s="160" t="str">
        <f>'1. BRIEFING'!A12</f>
        <v>1.4</v>
      </c>
      <c r="B12" s="161" t="str">
        <f>'1. BRIEFING'!B12</f>
        <v xml:space="preserve">ISOLAMENTO/PROTEÇÃO COM LONA/PLÁSTICO BOLHA </v>
      </c>
      <c r="C12" s="162" t="str">
        <f>'1. BRIEFING'!C12</f>
        <v>VB</v>
      </c>
      <c r="D12" s="163">
        <f>'1. BRIEFING'!D12</f>
        <v>1</v>
      </c>
      <c r="E12" s="164">
        <f t="shared" si="1"/>
        <v>0</v>
      </c>
      <c r="F12" s="165">
        <v>0</v>
      </c>
      <c r="G12" s="165">
        <v>0</v>
      </c>
      <c r="H12" s="165">
        <v>0</v>
      </c>
      <c r="I12" s="166">
        <f t="shared" si="2"/>
        <v>0</v>
      </c>
      <c r="J12" s="104">
        <f t="shared" si="3"/>
        <v>0</v>
      </c>
      <c r="K12" s="104">
        <f t="shared" si="4"/>
        <v>0</v>
      </c>
      <c r="L12" s="104">
        <f t="shared" si="5"/>
        <v>0</v>
      </c>
      <c r="M12" s="104">
        <f t="shared" si="6"/>
        <v>0</v>
      </c>
      <c r="N12" s="104">
        <f t="shared" si="7"/>
        <v>0</v>
      </c>
      <c r="O12" s="159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4.4" hidden="1" outlineLevel="1" x14ac:dyDescent="0.3">
      <c r="A13" s="160" t="str">
        <f>'1. BRIEFING'!A13</f>
        <v>1.5</v>
      </c>
      <c r="B13" s="161" t="str">
        <f>'1. BRIEFING'!B13</f>
        <v xml:space="preserve">MOBILIZAÇÃO E DESMOBILIZAÇÃO </v>
      </c>
      <c r="C13" s="162" t="str">
        <f>'1. BRIEFING'!C13</f>
        <v>UN</v>
      </c>
      <c r="D13" s="163">
        <f>'1. BRIEFING'!D13</f>
        <v>1</v>
      </c>
      <c r="E13" s="164">
        <f t="shared" si="1"/>
        <v>0</v>
      </c>
      <c r="F13" s="165">
        <v>0</v>
      </c>
      <c r="G13" s="165">
        <v>0</v>
      </c>
      <c r="H13" s="165">
        <v>0</v>
      </c>
      <c r="I13" s="166">
        <f t="shared" si="2"/>
        <v>0</v>
      </c>
      <c r="J13" s="104">
        <f t="shared" si="3"/>
        <v>0</v>
      </c>
      <c r="K13" s="104">
        <f t="shared" si="4"/>
        <v>0</v>
      </c>
      <c r="L13" s="104">
        <f t="shared" si="5"/>
        <v>0</v>
      </c>
      <c r="M13" s="104">
        <f t="shared" si="6"/>
        <v>0</v>
      </c>
      <c r="N13" s="104">
        <f t="shared" si="7"/>
        <v>0</v>
      </c>
      <c r="O13" s="159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4.4" collapsed="1" x14ac:dyDescent="0.3">
      <c r="A14" s="151">
        <f>'1. BRIEFING'!A14</f>
        <v>2</v>
      </c>
      <c r="B14" s="152" t="str">
        <f>'1. BRIEFING'!B14</f>
        <v>DEMOLIÇÃO E RETIRADA</v>
      </c>
      <c r="C14" s="153"/>
      <c r="D14" s="154"/>
      <c r="E14" s="155"/>
      <c r="F14" s="156"/>
      <c r="G14" s="156"/>
      <c r="H14" s="156"/>
      <c r="I14" s="157"/>
      <c r="J14" s="158">
        <f t="shared" ref="J14:N14" si="8">SUM(J15:J23)</f>
        <v>800</v>
      </c>
      <c r="K14" s="158">
        <f t="shared" si="8"/>
        <v>7</v>
      </c>
      <c r="L14" s="158">
        <f t="shared" si="8"/>
        <v>400</v>
      </c>
      <c r="M14" s="158">
        <f t="shared" si="8"/>
        <v>1207</v>
      </c>
      <c r="N14" s="158">
        <f t="shared" si="8"/>
        <v>1609.3333333333335</v>
      </c>
      <c r="O14" s="159">
        <f>N14/$N$92</f>
        <v>4.1793281496275647E-2</v>
      </c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4.4" hidden="1" outlineLevel="1" x14ac:dyDescent="0.3">
      <c r="A15" s="160" t="str">
        <f>'1. BRIEFING'!A15</f>
        <v>2.1</v>
      </c>
      <c r="B15" s="167" t="str">
        <f>'1. BRIEFING'!B15</f>
        <v>DEMOLIÇÃO DE ALVENARIA DE VEDAÇÃO</v>
      </c>
      <c r="C15" s="162" t="str">
        <f>'1. BRIEFING'!C15</f>
        <v>M²</v>
      </c>
      <c r="D15" s="162" t="str">
        <f>'1. BRIEFING'!D15</f>
        <v>1,00</v>
      </c>
      <c r="E15" s="164">
        <f t="shared" ref="E15:E23" si="9">I15</f>
        <v>32.5</v>
      </c>
      <c r="F15" s="165">
        <f>'3. CPU'!E12</f>
        <v>30</v>
      </c>
      <c r="G15" s="165">
        <f>'3. CPU'!E10</f>
        <v>2.5</v>
      </c>
      <c r="H15" s="165">
        <v>0</v>
      </c>
      <c r="I15" s="166">
        <f t="shared" ref="I15:I23" si="10">SUM(F15:H15)</f>
        <v>32.5</v>
      </c>
      <c r="J15" s="104">
        <f t="shared" ref="J15:J23" si="11">F15*D15</f>
        <v>30</v>
      </c>
      <c r="K15" s="104">
        <f t="shared" ref="K15:K23" si="12">G15*D15</f>
        <v>2.5</v>
      </c>
      <c r="L15" s="104">
        <f t="shared" ref="L15:L23" si="13">H15*D15</f>
        <v>0</v>
      </c>
      <c r="M15" s="104">
        <f t="shared" ref="M15:M23" si="14">SUM(J15:L15)</f>
        <v>32.5</v>
      </c>
      <c r="N15" s="104">
        <f t="shared" ref="N15:N23" si="15">M15*(1+$N$96)</f>
        <v>43.333333333333336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4.4" hidden="1" outlineLevel="1" x14ac:dyDescent="0.3">
      <c r="A16" s="160" t="str">
        <f>'1. BRIEFING'!A16</f>
        <v>2.2</v>
      </c>
      <c r="B16" s="167" t="str">
        <f>'1. BRIEFING'!B16</f>
        <v>REMOÇÃO DE BANCADAS EM GRANITO</v>
      </c>
      <c r="C16" s="162" t="str">
        <f>'1. BRIEFING'!C16</f>
        <v>UND</v>
      </c>
      <c r="D16" s="162" t="str">
        <f>'1. BRIEFING'!D16</f>
        <v>1,00</v>
      </c>
      <c r="E16" s="164">
        <f t="shared" si="9"/>
        <v>150</v>
      </c>
      <c r="F16" s="165">
        <v>150</v>
      </c>
      <c r="G16" s="165">
        <v>0</v>
      </c>
      <c r="H16" s="165">
        <v>0</v>
      </c>
      <c r="I16" s="166">
        <f t="shared" si="10"/>
        <v>150</v>
      </c>
      <c r="J16" s="104">
        <f t="shared" si="11"/>
        <v>150</v>
      </c>
      <c r="K16" s="104">
        <f t="shared" si="12"/>
        <v>0</v>
      </c>
      <c r="L16" s="104">
        <f t="shared" si="13"/>
        <v>0</v>
      </c>
      <c r="M16" s="104">
        <f t="shared" si="14"/>
        <v>150</v>
      </c>
      <c r="N16" s="104">
        <f t="shared" si="15"/>
        <v>200.00000000000003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4.4" hidden="1" outlineLevel="1" x14ac:dyDescent="0.3">
      <c r="A17" s="160" t="str">
        <f>'1. BRIEFING'!A17</f>
        <v>2.3</v>
      </c>
      <c r="B17" s="167" t="str">
        <f>'1. BRIEFING'!B17</f>
        <v>REMOÇÃO DE LOUÇAS E METAIS</v>
      </c>
      <c r="C17" s="162" t="str">
        <f>'1. BRIEFING'!C17</f>
        <v>VB</v>
      </c>
      <c r="D17" s="162" t="str">
        <f>'1. BRIEFING'!D17</f>
        <v>1,00</v>
      </c>
      <c r="E17" s="164">
        <f t="shared" si="9"/>
        <v>350</v>
      </c>
      <c r="F17" s="165">
        <v>350</v>
      </c>
      <c r="G17" s="165">
        <v>0</v>
      </c>
      <c r="H17" s="165">
        <v>0</v>
      </c>
      <c r="I17" s="166">
        <f t="shared" si="10"/>
        <v>350</v>
      </c>
      <c r="J17" s="104">
        <f t="shared" si="11"/>
        <v>350</v>
      </c>
      <c r="K17" s="104">
        <f t="shared" si="12"/>
        <v>0</v>
      </c>
      <c r="L17" s="104">
        <f t="shared" si="13"/>
        <v>0</v>
      </c>
      <c r="M17" s="104">
        <f t="shared" si="14"/>
        <v>350</v>
      </c>
      <c r="N17" s="104">
        <f t="shared" si="15"/>
        <v>466.66666666666674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4.4" hidden="1" outlineLevel="1" x14ac:dyDescent="0.3">
      <c r="A18" s="160" t="str">
        <f>'1. BRIEFING'!A18</f>
        <v>2.4</v>
      </c>
      <c r="B18" s="167" t="str">
        <f>'1. BRIEFING'!B18</f>
        <v>REMOÇÃO DE PORTAS INTERNAS EM MADEIRA</v>
      </c>
      <c r="C18" s="162" t="str">
        <f>'1. BRIEFING'!C18</f>
        <v>UN</v>
      </c>
      <c r="D18" s="162" t="str">
        <f>'1. BRIEFING'!D18</f>
        <v>1,00</v>
      </c>
      <c r="E18" s="164">
        <f t="shared" si="9"/>
        <v>75</v>
      </c>
      <c r="F18" s="165">
        <v>75</v>
      </c>
      <c r="G18" s="165">
        <v>0</v>
      </c>
      <c r="H18" s="165">
        <v>0</v>
      </c>
      <c r="I18" s="166">
        <f t="shared" si="10"/>
        <v>75</v>
      </c>
      <c r="J18" s="104">
        <f t="shared" si="11"/>
        <v>75</v>
      </c>
      <c r="K18" s="104">
        <f t="shared" si="12"/>
        <v>0</v>
      </c>
      <c r="L18" s="104">
        <f t="shared" si="13"/>
        <v>0</v>
      </c>
      <c r="M18" s="104">
        <f t="shared" si="14"/>
        <v>75</v>
      </c>
      <c r="N18" s="104">
        <f t="shared" si="15"/>
        <v>100.00000000000001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4.4" hidden="1" outlineLevel="1" x14ac:dyDescent="0.3">
      <c r="A19" s="160" t="str">
        <f>'1. BRIEFING'!A19</f>
        <v>2.5</v>
      </c>
      <c r="B19" s="167" t="str">
        <f>'1. BRIEFING'!B19</f>
        <v>DEMOLIÇÃO DE REVESTIMENTO CERÂMICO EM PAREDE</v>
      </c>
      <c r="C19" s="162" t="str">
        <f>'1. BRIEFING'!C19</f>
        <v>M²</v>
      </c>
      <c r="D19" s="162" t="str">
        <f>'1. BRIEFING'!D19</f>
        <v>1,00</v>
      </c>
      <c r="E19" s="164">
        <f t="shared" si="9"/>
        <v>26.5</v>
      </c>
      <c r="F19" s="165">
        <v>25</v>
      </c>
      <c r="G19" s="165">
        <v>1.5</v>
      </c>
      <c r="H19" s="165">
        <v>0</v>
      </c>
      <c r="I19" s="166">
        <f t="shared" si="10"/>
        <v>26.5</v>
      </c>
      <c r="J19" s="104">
        <f t="shared" si="11"/>
        <v>25</v>
      </c>
      <c r="K19" s="104">
        <f t="shared" si="12"/>
        <v>1.5</v>
      </c>
      <c r="L19" s="104">
        <f t="shared" si="13"/>
        <v>0</v>
      </c>
      <c r="M19" s="104">
        <f t="shared" si="14"/>
        <v>26.5</v>
      </c>
      <c r="N19" s="104">
        <f t="shared" si="15"/>
        <v>35.333333333333336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4.4" hidden="1" outlineLevel="1" x14ac:dyDescent="0.3">
      <c r="A20" s="160" t="str">
        <f>'1. BRIEFING'!A20</f>
        <v>2.6</v>
      </c>
      <c r="B20" s="167" t="str">
        <f>'1. BRIEFING'!B20</f>
        <v>DEMOLIÇÃO DE REVESTIMENTO CERÂMICO EM PISO</v>
      </c>
      <c r="C20" s="162" t="str">
        <f>'1. BRIEFING'!C20</f>
        <v>M²</v>
      </c>
      <c r="D20" s="162" t="str">
        <f>'1. BRIEFING'!D20</f>
        <v>1,00</v>
      </c>
      <c r="E20" s="164">
        <f t="shared" si="9"/>
        <v>26.5</v>
      </c>
      <c r="F20" s="165">
        <v>25</v>
      </c>
      <c r="G20" s="165">
        <v>1.5</v>
      </c>
      <c r="H20" s="165">
        <v>0</v>
      </c>
      <c r="I20" s="166">
        <f t="shared" si="10"/>
        <v>26.5</v>
      </c>
      <c r="J20" s="104">
        <f t="shared" si="11"/>
        <v>25</v>
      </c>
      <c r="K20" s="104">
        <f t="shared" si="12"/>
        <v>1.5</v>
      </c>
      <c r="L20" s="104">
        <f t="shared" si="13"/>
        <v>0</v>
      </c>
      <c r="M20" s="104">
        <f t="shared" si="14"/>
        <v>26.5</v>
      </c>
      <c r="N20" s="104">
        <f t="shared" si="15"/>
        <v>35.333333333333336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4.4" hidden="1" outlineLevel="1" x14ac:dyDescent="0.3">
      <c r="A21" s="160" t="str">
        <f>'1. BRIEFING'!A21</f>
        <v>2.7</v>
      </c>
      <c r="B21" s="167" t="str">
        <f>'1. BRIEFING'!B21</f>
        <v>DEMOLIÇÃO DE FORRO EM GESSO/PVC</v>
      </c>
      <c r="C21" s="162" t="str">
        <f>'1. BRIEFING'!C21</f>
        <v>M²</v>
      </c>
      <c r="D21" s="162" t="str">
        <f>'1. BRIEFING'!D21</f>
        <v>1,00</v>
      </c>
      <c r="E21" s="164">
        <f t="shared" si="9"/>
        <v>11.5</v>
      </c>
      <c r="F21" s="165">
        <v>10</v>
      </c>
      <c r="G21" s="165">
        <v>1.5</v>
      </c>
      <c r="H21" s="165">
        <v>0</v>
      </c>
      <c r="I21" s="166">
        <f t="shared" si="10"/>
        <v>11.5</v>
      </c>
      <c r="J21" s="104">
        <f t="shared" si="11"/>
        <v>10</v>
      </c>
      <c r="K21" s="104">
        <f t="shared" si="12"/>
        <v>1.5</v>
      </c>
      <c r="L21" s="104">
        <f t="shared" si="13"/>
        <v>0</v>
      </c>
      <c r="M21" s="104">
        <f t="shared" si="14"/>
        <v>11.5</v>
      </c>
      <c r="N21" s="104">
        <f t="shared" si="15"/>
        <v>15.333333333333336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4.4" hidden="1" outlineLevel="1" x14ac:dyDescent="0.3">
      <c r="A22" s="160" t="str">
        <f>'1. BRIEFING'!A22</f>
        <v>2.8</v>
      </c>
      <c r="B22" s="167" t="str">
        <f>'1. BRIEFING'!B22</f>
        <v>REMOÇÃO DE LUMINÁRIAS INTERNAS (FORRO)</v>
      </c>
      <c r="C22" s="162" t="str">
        <f>'1. BRIEFING'!C22</f>
        <v>UN</v>
      </c>
      <c r="D22" s="162" t="str">
        <f>'1. BRIEFING'!D22</f>
        <v>1,00</v>
      </c>
      <c r="E22" s="164">
        <f t="shared" si="9"/>
        <v>15</v>
      </c>
      <c r="F22" s="165">
        <v>15</v>
      </c>
      <c r="G22" s="165">
        <v>0</v>
      </c>
      <c r="H22" s="165">
        <v>0</v>
      </c>
      <c r="I22" s="166">
        <f t="shared" si="10"/>
        <v>15</v>
      </c>
      <c r="J22" s="104">
        <f t="shared" si="11"/>
        <v>15</v>
      </c>
      <c r="K22" s="104">
        <f t="shared" si="12"/>
        <v>0</v>
      </c>
      <c r="L22" s="104">
        <f t="shared" si="13"/>
        <v>0</v>
      </c>
      <c r="M22" s="104">
        <f t="shared" si="14"/>
        <v>15</v>
      </c>
      <c r="N22" s="104">
        <f t="shared" si="15"/>
        <v>20.000000000000004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4.4" hidden="1" outlineLevel="1" x14ac:dyDescent="0.3">
      <c r="A23" s="160" t="str">
        <f>'1. BRIEFING'!A23</f>
        <v>2.9</v>
      </c>
      <c r="B23" s="167" t="str">
        <f>'1. BRIEFING'!B23</f>
        <v>REMOÇÃO DOS ENTULHOS POR SACOS E CARRO PEQUENO</v>
      </c>
      <c r="C23" s="162" t="str">
        <f>'1. BRIEFING'!C23</f>
        <v>UN</v>
      </c>
      <c r="D23" s="162" t="str">
        <f>'1. BRIEFING'!D23</f>
        <v>1,00</v>
      </c>
      <c r="E23" s="164">
        <f t="shared" si="9"/>
        <v>520</v>
      </c>
      <c r="F23" s="165">
        <v>120</v>
      </c>
      <c r="G23" s="165">
        <v>0</v>
      </c>
      <c r="H23" s="165">
        <v>400</v>
      </c>
      <c r="I23" s="166">
        <f t="shared" si="10"/>
        <v>520</v>
      </c>
      <c r="J23" s="104">
        <f t="shared" si="11"/>
        <v>120</v>
      </c>
      <c r="K23" s="104">
        <f t="shared" si="12"/>
        <v>0</v>
      </c>
      <c r="L23" s="104">
        <f t="shared" si="13"/>
        <v>400</v>
      </c>
      <c r="M23" s="104">
        <f t="shared" si="14"/>
        <v>520</v>
      </c>
      <c r="N23" s="104">
        <f t="shared" si="15"/>
        <v>693.33333333333337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4.4" collapsed="1" x14ac:dyDescent="0.3">
      <c r="A24" s="151">
        <f>'1. BRIEFING'!A24</f>
        <v>3</v>
      </c>
      <c r="B24" s="152" t="str">
        <f>'1. BRIEFING'!B24</f>
        <v>SERVIÇO EM ALVENARIA</v>
      </c>
      <c r="C24" s="153"/>
      <c r="D24" s="154"/>
      <c r="E24" s="155"/>
      <c r="F24" s="156"/>
      <c r="G24" s="156"/>
      <c r="H24" s="156"/>
      <c r="I24" s="157"/>
      <c r="J24" s="158">
        <f t="shared" ref="J24:N24" si="16">SUM(J25)</f>
        <v>30</v>
      </c>
      <c r="K24" s="158">
        <f t="shared" si="16"/>
        <v>40.28</v>
      </c>
      <c r="L24" s="158">
        <f t="shared" si="16"/>
        <v>0</v>
      </c>
      <c r="M24" s="158">
        <f t="shared" si="16"/>
        <v>70.28</v>
      </c>
      <c r="N24" s="158">
        <f t="shared" si="16"/>
        <v>93.706666666666678</v>
      </c>
      <c r="O24" s="159">
        <f>N24/$N$92</f>
        <v>2.4334977825669034E-3</v>
      </c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4.4" hidden="1" outlineLevel="1" x14ac:dyDescent="0.3">
      <c r="A25" s="160" t="str">
        <f>'1. BRIEFING'!A25</f>
        <v>3.1</v>
      </c>
      <c r="B25" s="167" t="str">
        <f>'1. BRIEFING'!B25</f>
        <v>ASSENTAMENTO DE ALVENARIA DE VEDAÇÃO</v>
      </c>
      <c r="C25" s="162" t="str">
        <f>'1. BRIEFING'!C25</f>
        <v>M²</v>
      </c>
      <c r="D25" s="163">
        <f>'1. BRIEFING'!D25</f>
        <v>1</v>
      </c>
      <c r="E25" s="164">
        <f>I25</f>
        <v>70.28</v>
      </c>
      <c r="F25" s="165">
        <v>30</v>
      </c>
      <c r="G25" s="165">
        <v>40.28</v>
      </c>
      <c r="H25" s="165">
        <v>0</v>
      </c>
      <c r="I25" s="166">
        <f>SUM(F25:H25)</f>
        <v>70.28</v>
      </c>
      <c r="J25" s="104">
        <f>F25*D25</f>
        <v>30</v>
      </c>
      <c r="K25" s="104">
        <f>G25*D25</f>
        <v>40.28</v>
      </c>
      <c r="L25" s="104">
        <f>H25*D25</f>
        <v>0</v>
      </c>
      <c r="M25" s="104">
        <f>SUM(J25:L25)</f>
        <v>70.28</v>
      </c>
      <c r="N25" s="104">
        <f>M25*(1+$N$96)</f>
        <v>93.706666666666678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4.4" collapsed="1" x14ac:dyDescent="0.3">
      <c r="A26" s="151">
        <f>'1. BRIEFING'!A29</f>
        <v>4</v>
      </c>
      <c r="B26" s="152" t="str">
        <f>'1. BRIEFING'!B29</f>
        <v>INSTALAÇÃO HIDRÁULICA</v>
      </c>
      <c r="C26" s="153"/>
      <c r="D26" s="154"/>
      <c r="E26" s="155"/>
      <c r="F26" s="156"/>
      <c r="G26" s="156"/>
      <c r="H26" s="156"/>
      <c r="I26" s="157"/>
      <c r="J26" s="158">
        <f t="shared" ref="J26:N26" si="17">SUM(J27:J31)</f>
        <v>530</v>
      </c>
      <c r="K26" s="158">
        <f t="shared" si="17"/>
        <v>274.33</v>
      </c>
      <c r="L26" s="158">
        <f t="shared" si="17"/>
        <v>0</v>
      </c>
      <c r="M26" s="158">
        <f t="shared" si="17"/>
        <v>804.33000000000015</v>
      </c>
      <c r="N26" s="158">
        <f t="shared" si="17"/>
        <v>1072.4400000000003</v>
      </c>
      <c r="O26" s="159">
        <f>N26/$N$92</f>
        <v>2.7850530328002814E-2</v>
      </c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4.4" hidden="1" outlineLevel="1" x14ac:dyDescent="0.3">
      <c r="A27" s="160" t="str">
        <f>'1. BRIEFING'!A30</f>
        <v>4.1</v>
      </c>
      <c r="B27" s="167" t="str">
        <f>'1. BRIEFING'!B30</f>
        <v>INSTALAÇAO DE PONTO DE ÁGUA FRIA</v>
      </c>
      <c r="C27" s="162" t="str">
        <f>'1. BRIEFING'!C30</f>
        <v>UN</v>
      </c>
      <c r="D27" s="163">
        <f>'1. BRIEFING'!D30</f>
        <v>10</v>
      </c>
      <c r="E27" s="164">
        <f t="shared" ref="E27:E31" si="18">I27</f>
        <v>48.5</v>
      </c>
      <c r="F27" s="165">
        <v>40</v>
      </c>
      <c r="G27" s="165">
        <v>8.5</v>
      </c>
      <c r="H27" s="165">
        <v>0</v>
      </c>
      <c r="I27" s="166">
        <f t="shared" ref="I27:I31" si="19">SUM(F27:H27)</f>
        <v>48.5</v>
      </c>
      <c r="J27" s="104">
        <f t="shared" ref="J27:J31" si="20">F27*D27</f>
        <v>400</v>
      </c>
      <c r="K27" s="104">
        <f t="shared" ref="K27:K31" si="21">G27*D27</f>
        <v>85</v>
      </c>
      <c r="L27" s="104">
        <f t="shared" ref="L27:L31" si="22">H27*D27</f>
        <v>0</v>
      </c>
      <c r="M27" s="104">
        <f t="shared" ref="M27:M31" si="23">SUM(J27:L27)</f>
        <v>485</v>
      </c>
      <c r="N27" s="104">
        <f t="shared" ref="N27:N31" si="24">M27*(1+$N$96)</f>
        <v>646.66666666666674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4.4" hidden="1" outlineLevel="1" x14ac:dyDescent="0.3">
      <c r="A28" s="160" t="str">
        <f>'1. BRIEFING'!A31</f>
        <v>4.2</v>
      </c>
      <c r="B28" s="167" t="str">
        <f>'1. BRIEFING'!B31</f>
        <v>INSTALAÇÃO DE PONTO DE ESGOTO 50 MM</v>
      </c>
      <c r="C28" s="162" t="str">
        <f>'1. BRIEFING'!C31</f>
        <v>UN</v>
      </c>
      <c r="D28" s="163">
        <f>'1. BRIEFING'!D31</f>
        <v>1</v>
      </c>
      <c r="E28" s="164">
        <f t="shared" si="18"/>
        <v>104.19</v>
      </c>
      <c r="F28" s="165">
        <v>30</v>
      </c>
      <c r="G28" s="165">
        <v>74.19</v>
      </c>
      <c r="H28" s="165">
        <v>0</v>
      </c>
      <c r="I28" s="166">
        <f t="shared" si="19"/>
        <v>104.19</v>
      </c>
      <c r="J28" s="104">
        <f t="shared" si="20"/>
        <v>30</v>
      </c>
      <c r="K28" s="104">
        <f t="shared" si="21"/>
        <v>74.19</v>
      </c>
      <c r="L28" s="104">
        <f t="shared" si="22"/>
        <v>0</v>
      </c>
      <c r="M28" s="104">
        <f t="shared" si="23"/>
        <v>104.19</v>
      </c>
      <c r="N28" s="104">
        <f t="shared" si="24"/>
        <v>138.92000000000002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4.4" hidden="1" outlineLevel="1" x14ac:dyDescent="0.3">
      <c r="A29" s="160" t="str">
        <f>'1. BRIEFING'!A32</f>
        <v>4.3</v>
      </c>
      <c r="B29" s="167" t="str">
        <f>'1. BRIEFING'!B32</f>
        <v>RELOCAÇÃO DE PONTO DE ESGOTO 100 MM</v>
      </c>
      <c r="C29" s="162" t="str">
        <f>'1. BRIEFING'!C32</f>
        <v>UN</v>
      </c>
      <c r="D29" s="163">
        <f>'1. BRIEFING'!D32</f>
        <v>1</v>
      </c>
      <c r="E29" s="164">
        <f t="shared" si="18"/>
        <v>50.7</v>
      </c>
      <c r="F29" s="165">
        <v>30</v>
      </c>
      <c r="G29" s="165">
        <v>20.7</v>
      </c>
      <c r="H29" s="165">
        <v>0</v>
      </c>
      <c r="I29" s="166">
        <f t="shared" si="19"/>
        <v>50.7</v>
      </c>
      <c r="J29" s="104">
        <f t="shared" si="20"/>
        <v>30</v>
      </c>
      <c r="K29" s="104">
        <f t="shared" si="21"/>
        <v>20.7</v>
      </c>
      <c r="L29" s="104">
        <f t="shared" si="22"/>
        <v>0</v>
      </c>
      <c r="M29" s="104">
        <f t="shared" si="23"/>
        <v>50.7</v>
      </c>
      <c r="N29" s="104">
        <f t="shared" si="24"/>
        <v>67.600000000000009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4.4" hidden="1" outlineLevel="1" x14ac:dyDescent="0.3">
      <c r="A30" s="160" t="str">
        <f>'1. BRIEFING'!A33</f>
        <v>4.4</v>
      </c>
      <c r="B30" s="167" t="str">
        <f>'1. BRIEFING'!B33</f>
        <v>INSTALAÇÃO DE PONTO DE REGISTRO DE GAVETA</v>
      </c>
      <c r="C30" s="162" t="str">
        <f>'1. BRIEFING'!C33</f>
        <v>UN</v>
      </c>
      <c r="D30" s="163">
        <f>'1. BRIEFING'!D33</f>
        <v>1</v>
      </c>
      <c r="E30" s="164">
        <f t="shared" si="18"/>
        <v>82.22</v>
      </c>
      <c r="F30" s="165">
        <v>35</v>
      </c>
      <c r="G30" s="165">
        <v>47.22</v>
      </c>
      <c r="H30" s="165">
        <v>0</v>
      </c>
      <c r="I30" s="166">
        <f t="shared" si="19"/>
        <v>82.22</v>
      </c>
      <c r="J30" s="104">
        <f t="shared" si="20"/>
        <v>35</v>
      </c>
      <c r="K30" s="104">
        <f t="shared" si="21"/>
        <v>47.22</v>
      </c>
      <c r="L30" s="104">
        <f t="shared" si="22"/>
        <v>0</v>
      </c>
      <c r="M30" s="104">
        <f t="shared" si="23"/>
        <v>82.22</v>
      </c>
      <c r="N30" s="104">
        <f t="shared" si="24"/>
        <v>109.62666666666668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4.4" hidden="1" outlineLevel="1" x14ac:dyDescent="0.3">
      <c r="A31" s="160" t="str">
        <f>'1. BRIEFING'!A34</f>
        <v>4.5</v>
      </c>
      <c r="B31" s="167" t="str">
        <f>'1. BRIEFING'!B34</f>
        <v>INSTALAÇÃO DE PONTO DE REGISTRO DE PRESSÃO</v>
      </c>
      <c r="C31" s="162" t="str">
        <f>'1. BRIEFING'!C34</f>
        <v>UN</v>
      </c>
      <c r="D31" s="163">
        <f>'1. BRIEFING'!D34</f>
        <v>1</v>
      </c>
      <c r="E31" s="164">
        <f t="shared" si="18"/>
        <v>82.22</v>
      </c>
      <c r="F31" s="165">
        <v>35</v>
      </c>
      <c r="G31" s="165">
        <v>47.22</v>
      </c>
      <c r="H31" s="165">
        <v>0</v>
      </c>
      <c r="I31" s="166">
        <f t="shared" si="19"/>
        <v>82.22</v>
      </c>
      <c r="J31" s="104">
        <f t="shared" si="20"/>
        <v>35</v>
      </c>
      <c r="K31" s="104">
        <f t="shared" si="21"/>
        <v>47.22</v>
      </c>
      <c r="L31" s="104">
        <f t="shared" si="22"/>
        <v>0</v>
      </c>
      <c r="M31" s="104">
        <f t="shared" si="23"/>
        <v>82.22</v>
      </c>
      <c r="N31" s="104">
        <f t="shared" si="24"/>
        <v>109.62666666666668</v>
      </c>
      <c r="O31" s="159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4.4" collapsed="1" x14ac:dyDescent="0.3">
      <c r="A32" s="151">
        <f>'1. BRIEFING'!A35</f>
        <v>5</v>
      </c>
      <c r="B32" s="152" t="str">
        <f>'1. BRIEFING'!B35</f>
        <v>INSTALAÇÃO ELÉTRICA</v>
      </c>
      <c r="C32" s="168"/>
      <c r="D32" s="154"/>
      <c r="E32" s="155"/>
      <c r="F32" s="156"/>
      <c r="G32" s="156"/>
      <c r="H32" s="156"/>
      <c r="I32" s="157"/>
      <c r="J32" s="158">
        <f t="shared" ref="J32:N32" si="25">SUM(J33:J37)</f>
        <v>175</v>
      </c>
      <c r="K32" s="158">
        <f t="shared" si="25"/>
        <v>0</v>
      </c>
      <c r="L32" s="158">
        <f t="shared" si="25"/>
        <v>0</v>
      </c>
      <c r="M32" s="158">
        <f t="shared" si="25"/>
        <v>175</v>
      </c>
      <c r="N32" s="158">
        <f t="shared" si="25"/>
        <v>233.33333333333337</v>
      </c>
      <c r="O32" s="159">
        <f>N32/$N$92</f>
        <v>6.059506430694481E-3</v>
      </c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4.4" hidden="1" outlineLevel="1" x14ac:dyDescent="0.3">
      <c r="A33" s="169" t="str">
        <f>'1. BRIEFING'!A36</f>
        <v>5.1</v>
      </c>
      <c r="B33" s="170" t="str">
        <f>'1. BRIEFING'!B36</f>
        <v>INSTALAÇÃO DE INFRAESTRUTURA PARA TOMADA E ILUMINAÇÃO</v>
      </c>
      <c r="C33" s="163" t="str">
        <f>'1. BRIEFING'!C36</f>
        <v>UN</v>
      </c>
      <c r="D33" s="163">
        <f>'1. BRIEFING'!D36</f>
        <v>1</v>
      </c>
      <c r="E33" s="164">
        <f t="shared" ref="E33:E37" si="26">I33</f>
        <v>35</v>
      </c>
      <c r="F33" s="165">
        <v>35</v>
      </c>
      <c r="G33" s="165">
        <v>0</v>
      </c>
      <c r="H33" s="165">
        <v>0</v>
      </c>
      <c r="I33" s="166">
        <f t="shared" ref="I33:I37" si="27">SUM(F33:H33)</f>
        <v>35</v>
      </c>
      <c r="J33" s="104">
        <f t="shared" ref="J33:J37" si="28">F33*D33</f>
        <v>35</v>
      </c>
      <c r="K33" s="104">
        <f t="shared" ref="K33:K37" si="29">G33*D33</f>
        <v>0</v>
      </c>
      <c r="L33" s="104">
        <f t="shared" ref="L33:L37" si="30">H33*D33</f>
        <v>0</v>
      </c>
      <c r="M33" s="104">
        <f t="shared" ref="M33:M37" si="31">SUM(J33:L33)</f>
        <v>35</v>
      </c>
      <c r="N33" s="104">
        <f t="shared" ref="N33:N37" si="32">M33*(1+$N$96)</f>
        <v>46.666666666666671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4.4" hidden="1" outlineLevel="1" x14ac:dyDescent="0.3">
      <c r="A34" s="169" t="str">
        <f>'1. BRIEFING'!A37</f>
        <v>5.2</v>
      </c>
      <c r="B34" s="170" t="str">
        <f>'1. BRIEFING'!B37</f>
        <v>INSTALAÇÃO DE CABEAMENTO PARA PONTOS DE TOMADAS</v>
      </c>
      <c r="C34" s="163" t="str">
        <f>'1. BRIEFING'!C37</f>
        <v>UN</v>
      </c>
      <c r="D34" s="163">
        <f>'1. BRIEFING'!D37</f>
        <v>1</v>
      </c>
      <c r="E34" s="164">
        <f t="shared" si="26"/>
        <v>35</v>
      </c>
      <c r="F34" s="165">
        <v>35</v>
      </c>
      <c r="G34" s="165">
        <v>0</v>
      </c>
      <c r="H34" s="165">
        <v>0</v>
      </c>
      <c r="I34" s="166">
        <f t="shared" si="27"/>
        <v>35</v>
      </c>
      <c r="J34" s="104">
        <f t="shared" si="28"/>
        <v>35</v>
      </c>
      <c r="K34" s="104">
        <f t="shared" si="29"/>
        <v>0</v>
      </c>
      <c r="L34" s="104">
        <f t="shared" si="30"/>
        <v>0</v>
      </c>
      <c r="M34" s="104">
        <f t="shared" si="31"/>
        <v>35</v>
      </c>
      <c r="N34" s="104">
        <f t="shared" si="32"/>
        <v>46.666666666666671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4.4" hidden="1" outlineLevel="1" x14ac:dyDescent="0.3">
      <c r="A35" s="169" t="str">
        <f>'1. BRIEFING'!A38</f>
        <v>5.3</v>
      </c>
      <c r="B35" s="170" t="str">
        <f>'1. BRIEFING'!B38</f>
        <v>INSTALAÇÃO DE CABEAMENTO PARA PONTOS DE ILUMINAÇÃO</v>
      </c>
      <c r="C35" s="163" t="str">
        <f>'1. BRIEFING'!C38</f>
        <v>UN</v>
      </c>
      <c r="D35" s="163">
        <f>'1. BRIEFING'!D38</f>
        <v>1</v>
      </c>
      <c r="E35" s="164">
        <f t="shared" si="26"/>
        <v>35</v>
      </c>
      <c r="F35" s="165">
        <v>35</v>
      </c>
      <c r="G35" s="165">
        <v>0</v>
      </c>
      <c r="H35" s="165">
        <v>0</v>
      </c>
      <c r="I35" s="166">
        <f t="shared" si="27"/>
        <v>35</v>
      </c>
      <c r="J35" s="104">
        <f t="shared" si="28"/>
        <v>35</v>
      </c>
      <c r="K35" s="104">
        <f t="shared" si="29"/>
        <v>0</v>
      </c>
      <c r="L35" s="104">
        <f t="shared" si="30"/>
        <v>0</v>
      </c>
      <c r="M35" s="104">
        <f t="shared" si="31"/>
        <v>35</v>
      </c>
      <c r="N35" s="104">
        <f t="shared" si="32"/>
        <v>46.666666666666671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4.4" hidden="1" outlineLevel="1" x14ac:dyDescent="0.3">
      <c r="A36" s="169" t="str">
        <f>'1. BRIEFING'!A39</f>
        <v>5.4</v>
      </c>
      <c r="B36" s="170" t="str">
        <f>'1. BRIEFING'!B39</f>
        <v>REISNTALAÇÃO DE QUADRO DE DISTRIBUIÇÃO (ADEQUAÇÃO)</v>
      </c>
      <c r="C36" s="163" t="str">
        <f>'1. BRIEFING'!C39</f>
        <v>VB</v>
      </c>
      <c r="D36" s="163">
        <f>'1. BRIEFING'!D39</f>
        <v>1</v>
      </c>
      <c r="E36" s="164">
        <f t="shared" si="26"/>
        <v>35</v>
      </c>
      <c r="F36" s="165">
        <v>35</v>
      </c>
      <c r="G36" s="165">
        <v>0</v>
      </c>
      <c r="H36" s="165">
        <v>0</v>
      </c>
      <c r="I36" s="166">
        <f t="shared" si="27"/>
        <v>35</v>
      </c>
      <c r="J36" s="104">
        <f t="shared" si="28"/>
        <v>35</v>
      </c>
      <c r="K36" s="104">
        <f t="shared" si="29"/>
        <v>0</v>
      </c>
      <c r="L36" s="104">
        <f t="shared" si="30"/>
        <v>0</v>
      </c>
      <c r="M36" s="104">
        <f t="shared" si="31"/>
        <v>35</v>
      </c>
      <c r="N36" s="104">
        <f t="shared" si="32"/>
        <v>46.666666666666671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4.4" hidden="1" outlineLevel="1" x14ac:dyDescent="0.3">
      <c r="A37" s="169" t="str">
        <f>'1. BRIEFING'!A40</f>
        <v>5.5</v>
      </c>
      <c r="B37" s="170" t="str">
        <f>'1. BRIEFING'!B40</f>
        <v>INSTALAÇÃO DE INFRAESTRUTURA PARA PONTOS DE REDE/ANTENA/CAMERA/SOM</v>
      </c>
      <c r="C37" s="163" t="str">
        <f>'1. BRIEFING'!C40</f>
        <v>UN</v>
      </c>
      <c r="D37" s="163">
        <f>'1. BRIEFING'!D40</f>
        <v>1</v>
      </c>
      <c r="E37" s="164">
        <f t="shared" si="26"/>
        <v>35</v>
      </c>
      <c r="F37" s="165">
        <v>35</v>
      </c>
      <c r="G37" s="165">
        <v>0</v>
      </c>
      <c r="H37" s="165">
        <v>0</v>
      </c>
      <c r="I37" s="166">
        <f t="shared" si="27"/>
        <v>35</v>
      </c>
      <c r="J37" s="104">
        <f t="shared" si="28"/>
        <v>35</v>
      </c>
      <c r="K37" s="104">
        <f t="shared" si="29"/>
        <v>0</v>
      </c>
      <c r="L37" s="104">
        <f t="shared" si="30"/>
        <v>0</v>
      </c>
      <c r="M37" s="104">
        <f t="shared" si="31"/>
        <v>35</v>
      </c>
      <c r="N37" s="104">
        <f t="shared" si="32"/>
        <v>46.666666666666671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4.4" collapsed="1" x14ac:dyDescent="0.3">
      <c r="A38" s="151">
        <f>'1. BRIEFING'!A41</f>
        <v>6</v>
      </c>
      <c r="B38" s="152" t="str">
        <f>'1. BRIEFING'!B41</f>
        <v>INSTALAÇÃO DE EQUIPAMENTOS</v>
      </c>
      <c r="C38" s="168"/>
      <c r="D38" s="154"/>
      <c r="E38" s="155"/>
      <c r="F38" s="156"/>
      <c r="G38" s="156"/>
      <c r="H38" s="156"/>
      <c r="I38" s="157"/>
      <c r="J38" s="158">
        <f t="shared" ref="J38:N38" si="33">SUM(J39:J41)</f>
        <v>250</v>
      </c>
      <c r="K38" s="158">
        <f t="shared" si="33"/>
        <v>125.63</v>
      </c>
      <c r="L38" s="158">
        <f t="shared" si="33"/>
        <v>0</v>
      </c>
      <c r="M38" s="158">
        <f t="shared" si="33"/>
        <v>375.63</v>
      </c>
      <c r="N38" s="158">
        <f t="shared" si="33"/>
        <v>500.84000000000003</v>
      </c>
      <c r="O38" s="159">
        <f>N38/$N$92</f>
        <v>1.3006470860352958E-2</v>
      </c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4.4" hidden="1" outlineLevel="1" x14ac:dyDescent="0.3">
      <c r="A39" s="169" t="str">
        <f>'1. BRIEFING'!A42</f>
        <v>6.1</v>
      </c>
      <c r="B39" s="170" t="str">
        <f>'1. BRIEFING'!B42</f>
        <v>INSTALAÇÃO DE INFRA PARA AR CONDICIONADO</v>
      </c>
      <c r="C39" s="163" t="str">
        <f>'1. BRIEFING'!C42</f>
        <v>UN</v>
      </c>
      <c r="D39" s="163">
        <f>'1. BRIEFING'!D42</f>
        <v>1</v>
      </c>
      <c r="E39" s="164">
        <f t="shared" ref="E39:E41" si="34">I39</f>
        <v>94.43</v>
      </c>
      <c r="F39" s="165">
        <v>50</v>
      </c>
      <c r="G39" s="165">
        <v>44.43</v>
      </c>
      <c r="H39" s="165">
        <v>0</v>
      </c>
      <c r="I39" s="166">
        <f t="shared" ref="I39:I41" si="35">SUM(F39:H39)</f>
        <v>94.43</v>
      </c>
      <c r="J39" s="104">
        <f t="shared" ref="J39:J41" si="36">F39*D39</f>
        <v>50</v>
      </c>
      <c r="K39" s="104">
        <f t="shared" ref="K39:K41" si="37">G39*D39</f>
        <v>44.43</v>
      </c>
      <c r="L39" s="104">
        <f t="shared" ref="L39:L41" si="38">H39*D39</f>
        <v>0</v>
      </c>
      <c r="M39" s="104">
        <f t="shared" ref="M39:M41" si="39">SUM(J39:L39)</f>
        <v>94.43</v>
      </c>
      <c r="N39" s="104">
        <f t="shared" ref="N39:N41" si="40">M39*(1+$N$96)</f>
        <v>125.90666666666669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4.4" hidden="1" outlineLevel="1" x14ac:dyDescent="0.3">
      <c r="A40" s="169" t="str">
        <f>'1. BRIEFING'!A43</f>
        <v>6.2</v>
      </c>
      <c r="B40" s="170" t="str">
        <f>'1. BRIEFING'!B43</f>
        <v xml:space="preserve">INSTALAÇÃO DE BOILER </v>
      </c>
      <c r="C40" s="163" t="str">
        <f>'1. BRIEFING'!C43</f>
        <v>UN</v>
      </c>
      <c r="D40" s="163">
        <f>'1. BRIEFING'!D43</f>
        <v>1</v>
      </c>
      <c r="E40" s="164">
        <f t="shared" si="34"/>
        <v>131.19999999999999</v>
      </c>
      <c r="F40" s="165">
        <v>50</v>
      </c>
      <c r="G40" s="165">
        <v>81.2</v>
      </c>
      <c r="H40" s="165">
        <v>0</v>
      </c>
      <c r="I40" s="166">
        <f t="shared" si="35"/>
        <v>131.19999999999999</v>
      </c>
      <c r="J40" s="104">
        <f t="shared" si="36"/>
        <v>50</v>
      </c>
      <c r="K40" s="104">
        <f t="shared" si="37"/>
        <v>81.2</v>
      </c>
      <c r="L40" s="104">
        <f t="shared" si="38"/>
        <v>0</v>
      </c>
      <c r="M40" s="104">
        <f t="shared" si="39"/>
        <v>131.19999999999999</v>
      </c>
      <c r="N40" s="104">
        <f t="shared" si="40"/>
        <v>174.93333333333334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4.4" hidden="1" outlineLevel="1" x14ac:dyDescent="0.3">
      <c r="A41" s="169" t="str">
        <f>'1. BRIEFING'!A44</f>
        <v>6.3</v>
      </c>
      <c r="B41" s="170" t="str">
        <f>'1. BRIEFING'!B44</f>
        <v>INSTALAÇÃO DE EXAUSTOR l BWC CAMARIM E MAS</v>
      </c>
      <c r="C41" s="163" t="str">
        <f>'1. BRIEFING'!C44</f>
        <v>UN</v>
      </c>
      <c r="D41" s="163">
        <f>'1. BRIEFING'!D44</f>
        <v>1</v>
      </c>
      <c r="E41" s="164">
        <f t="shared" si="34"/>
        <v>150</v>
      </c>
      <c r="F41" s="165">
        <v>150</v>
      </c>
      <c r="G41" s="165">
        <v>0</v>
      </c>
      <c r="H41" s="165">
        <v>0</v>
      </c>
      <c r="I41" s="166">
        <f t="shared" si="35"/>
        <v>150</v>
      </c>
      <c r="J41" s="104">
        <f t="shared" si="36"/>
        <v>150</v>
      </c>
      <c r="K41" s="104">
        <f t="shared" si="37"/>
        <v>0</v>
      </c>
      <c r="L41" s="104">
        <f t="shared" si="38"/>
        <v>0</v>
      </c>
      <c r="M41" s="104">
        <f t="shared" si="39"/>
        <v>150</v>
      </c>
      <c r="N41" s="104">
        <f t="shared" si="40"/>
        <v>200.00000000000003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4.4" collapsed="1" x14ac:dyDescent="0.3">
      <c r="A42" s="151">
        <f>'1. BRIEFING'!A45</f>
        <v>7</v>
      </c>
      <c r="B42" s="152" t="str">
        <f>'1. BRIEFING'!B45</f>
        <v>INSTALAÇÃO DE ILUMINAÇÃO</v>
      </c>
      <c r="C42" s="168"/>
      <c r="D42" s="154"/>
      <c r="E42" s="155"/>
      <c r="F42" s="156"/>
      <c r="G42" s="156"/>
      <c r="H42" s="156"/>
      <c r="I42" s="157"/>
      <c r="J42" s="158">
        <f t="shared" ref="J42:N42" si="41">SUM(J43:J46)</f>
        <v>300</v>
      </c>
      <c r="K42" s="158">
        <f t="shared" si="41"/>
        <v>0</v>
      </c>
      <c r="L42" s="158">
        <f t="shared" si="41"/>
        <v>6300</v>
      </c>
      <c r="M42" s="158">
        <f t="shared" si="41"/>
        <v>6600</v>
      </c>
      <c r="N42" s="158">
        <f t="shared" si="41"/>
        <v>8800</v>
      </c>
      <c r="O42" s="159">
        <f>N42/$N$92</f>
        <v>0.22852995681476324</v>
      </c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4.4" hidden="1" outlineLevel="1" x14ac:dyDescent="0.3">
      <c r="A43" s="169" t="str">
        <f>'1. BRIEFING'!A46</f>
        <v>7.1</v>
      </c>
      <c r="B43" s="170" t="str">
        <f>'1. BRIEFING'!B46</f>
        <v>INSTALAÇÃO DE LUMINÁRIA DE EMBUTIR QUADRADA 20W EM FORRO DE GESSO</v>
      </c>
      <c r="C43" s="163" t="str">
        <f>'1. BRIEFING'!C46</f>
        <v>UN</v>
      </c>
      <c r="D43" s="163">
        <f>'1. BRIEFING'!D46</f>
        <v>1</v>
      </c>
      <c r="E43" s="164">
        <f t="shared" ref="E43:E46" si="42">I43</f>
        <v>150</v>
      </c>
      <c r="F43" s="165">
        <v>150</v>
      </c>
      <c r="G43" s="165">
        <v>0</v>
      </c>
      <c r="H43" s="165">
        <v>0</v>
      </c>
      <c r="I43" s="166">
        <f t="shared" ref="I43:I46" si="43">SUM(F43:H43)</f>
        <v>150</v>
      </c>
      <c r="J43" s="104">
        <f t="shared" ref="J43:J46" si="44">F43*D43</f>
        <v>150</v>
      </c>
      <c r="K43" s="104">
        <f t="shared" ref="K43:K46" si="45">G43*D43</f>
        <v>0</v>
      </c>
      <c r="L43" s="104">
        <f t="shared" ref="L43:L46" si="46">H43*D43</f>
        <v>0</v>
      </c>
      <c r="M43" s="104">
        <f t="shared" ref="M43:M46" si="47">SUM(J43:L43)</f>
        <v>150</v>
      </c>
      <c r="N43" s="104">
        <f t="shared" ref="N43:N46" si="48">M43*(1+$N$96)</f>
        <v>200.00000000000003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4.4" hidden="1" outlineLevel="1" x14ac:dyDescent="0.3">
      <c r="A44" s="169" t="str">
        <f>'1. BRIEFING'!A47</f>
        <v>7.2</v>
      </c>
      <c r="B44" s="170" t="str">
        <f>'1. BRIEFING'!B47</f>
        <v>INSTALAÇÃO DE DICROICAS DIRECIONAIS</v>
      </c>
      <c r="C44" s="163" t="str">
        <f>'1. BRIEFING'!C47</f>
        <v>UN</v>
      </c>
      <c r="D44" s="163">
        <f>'1. BRIEFING'!D47</f>
        <v>1</v>
      </c>
      <c r="E44" s="164">
        <f t="shared" si="42"/>
        <v>150</v>
      </c>
      <c r="F44" s="165">
        <v>150</v>
      </c>
      <c r="G44" s="165">
        <v>0</v>
      </c>
      <c r="H44" s="165">
        <v>0</v>
      </c>
      <c r="I44" s="166">
        <f t="shared" si="43"/>
        <v>150</v>
      </c>
      <c r="J44" s="104">
        <f t="shared" si="44"/>
        <v>150</v>
      </c>
      <c r="K44" s="104">
        <f t="shared" si="45"/>
        <v>0</v>
      </c>
      <c r="L44" s="104">
        <f t="shared" si="46"/>
        <v>0</v>
      </c>
      <c r="M44" s="104">
        <f t="shared" si="47"/>
        <v>150</v>
      </c>
      <c r="N44" s="104">
        <f t="shared" si="48"/>
        <v>200.00000000000003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4.4" hidden="1" outlineLevel="1" x14ac:dyDescent="0.3">
      <c r="A45" s="169" t="str">
        <f>'1. BRIEFING'!A48</f>
        <v>7.3</v>
      </c>
      <c r="B45" s="170" t="str">
        <f>'1. BRIEFING'!B48</f>
        <v>INSTALAÇÃO DE FITA EM LED</v>
      </c>
      <c r="C45" s="163" t="str">
        <f>'1. BRIEFING'!C48</f>
        <v>UN</v>
      </c>
      <c r="D45" s="163">
        <f>'1. BRIEFING'!D48</f>
        <v>1</v>
      </c>
      <c r="E45" s="164">
        <f t="shared" si="42"/>
        <v>5500</v>
      </c>
      <c r="F45" s="165">
        <v>0</v>
      </c>
      <c r="G45" s="165">
        <v>0</v>
      </c>
      <c r="H45" s="165">
        <v>5500</v>
      </c>
      <c r="I45" s="166">
        <f t="shared" si="43"/>
        <v>5500</v>
      </c>
      <c r="J45" s="104">
        <f t="shared" si="44"/>
        <v>0</v>
      </c>
      <c r="K45" s="104">
        <f t="shared" si="45"/>
        <v>0</v>
      </c>
      <c r="L45" s="104">
        <f t="shared" si="46"/>
        <v>5500</v>
      </c>
      <c r="M45" s="104">
        <f t="shared" si="47"/>
        <v>5500</v>
      </c>
      <c r="N45" s="104">
        <f t="shared" si="48"/>
        <v>7333.3333333333339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4.4" hidden="1" outlineLevel="1" x14ac:dyDescent="0.3">
      <c r="A46" s="169" t="str">
        <f>'1. BRIEFING'!A49</f>
        <v>7.4</v>
      </c>
      <c r="B46" s="170" t="str">
        <f>'1. BRIEFING'!B49</f>
        <v xml:space="preserve">INSTALAÇÃO DE PENDENTE </v>
      </c>
      <c r="C46" s="163" t="str">
        <f>'1. BRIEFING'!C49</f>
        <v>UN</v>
      </c>
      <c r="D46" s="163">
        <f>'1. BRIEFING'!D49</f>
        <v>1</v>
      </c>
      <c r="E46" s="164">
        <f t="shared" si="42"/>
        <v>800</v>
      </c>
      <c r="F46" s="165">
        <v>0</v>
      </c>
      <c r="G46" s="165">
        <v>0</v>
      </c>
      <c r="H46" s="165">
        <v>800</v>
      </c>
      <c r="I46" s="166">
        <f t="shared" si="43"/>
        <v>800</v>
      </c>
      <c r="J46" s="104">
        <f t="shared" si="44"/>
        <v>0</v>
      </c>
      <c r="K46" s="104">
        <f t="shared" si="45"/>
        <v>0</v>
      </c>
      <c r="L46" s="104">
        <f t="shared" si="46"/>
        <v>800</v>
      </c>
      <c r="M46" s="104">
        <f t="shared" si="47"/>
        <v>800</v>
      </c>
      <c r="N46" s="104">
        <f t="shared" si="48"/>
        <v>1066.6666666666667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4.4" collapsed="1" x14ac:dyDescent="0.3">
      <c r="A47" s="151">
        <f>'1. BRIEFING'!A54</f>
        <v>8</v>
      </c>
      <c r="B47" s="152" t="str">
        <f>'1. BRIEFING'!B54</f>
        <v>SERVIÇO EM FORRO</v>
      </c>
      <c r="C47" s="168"/>
      <c r="D47" s="154"/>
      <c r="E47" s="155"/>
      <c r="F47" s="156"/>
      <c r="G47" s="156"/>
      <c r="H47" s="156"/>
      <c r="I47" s="157"/>
      <c r="J47" s="158">
        <f t="shared" ref="J47:N47" si="49">SUM(J48:J51)</f>
        <v>0</v>
      </c>
      <c r="K47" s="158">
        <f t="shared" si="49"/>
        <v>0</v>
      </c>
      <c r="L47" s="158">
        <f t="shared" si="49"/>
        <v>135</v>
      </c>
      <c r="M47" s="158">
        <f t="shared" si="49"/>
        <v>135</v>
      </c>
      <c r="N47" s="158">
        <f t="shared" si="49"/>
        <v>180.00000000000006</v>
      </c>
      <c r="O47" s="159">
        <f>N47/$N$92</f>
        <v>4.6744763893928863E-3</v>
      </c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4.4" hidden="1" outlineLevel="1" x14ac:dyDescent="0.3">
      <c r="A48" s="169" t="str">
        <f>'1. BRIEFING'!A55</f>
        <v>8.1</v>
      </c>
      <c r="B48" s="170" t="str">
        <f>'1. BRIEFING'!B55</f>
        <v>FORNECIMENTO E INSTALAÇÃO DE FORRO EM GESSO</v>
      </c>
      <c r="C48" s="163" t="str">
        <f>'1. BRIEFING'!C55</f>
        <v>M²</v>
      </c>
      <c r="D48" s="163">
        <f>'1. BRIEFING'!D55</f>
        <v>1</v>
      </c>
      <c r="E48" s="164">
        <f t="shared" ref="E48:E51" si="50">I48</f>
        <v>35</v>
      </c>
      <c r="F48" s="165">
        <v>0</v>
      </c>
      <c r="G48" s="165">
        <v>0</v>
      </c>
      <c r="H48" s="165">
        <v>35</v>
      </c>
      <c r="I48" s="166">
        <f t="shared" ref="I48:I51" si="51">SUM(F48:H48)</f>
        <v>35</v>
      </c>
      <c r="J48" s="104">
        <f t="shared" ref="J48:J51" si="52">F48*D48</f>
        <v>0</v>
      </c>
      <c r="K48" s="104">
        <f t="shared" ref="K48:K51" si="53">G48*D48</f>
        <v>0</v>
      </c>
      <c r="L48" s="104">
        <f t="shared" ref="L48:L51" si="54">H48*D48</f>
        <v>35</v>
      </c>
      <c r="M48" s="104">
        <f t="shared" ref="M48:M51" si="55">SUM(J48:L48)</f>
        <v>35</v>
      </c>
      <c r="N48" s="104">
        <f t="shared" ref="N48:N51" si="56">M48*(1+$N$96)</f>
        <v>46.666666666666671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4.4" hidden="1" outlineLevel="1" x14ac:dyDescent="0.3">
      <c r="A49" s="169" t="str">
        <f>'1. BRIEFING'!A56</f>
        <v>8.2</v>
      </c>
      <c r="B49" s="170" t="str">
        <f>'1. BRIEFING'!B56</f>
        <v>FORNECIMENTO E INSTALAÇÃO DE JUNTA EM DILATAÇÃO 3X3 CM</v>
      </c>
      <c r="C49" s="163" t="str">
        <f>'1. BRIEFING'!C56</f>
        <v xml:space="preserve">M </v>
      </c>
      <c r="D49" s="163">
        <f>'1. BRIEFING'!D56</f>
        <v>1</v>
      </c>
      <c r="E49" s="164">
        <f t="shared" si="50"/>
        <v>60</v>
      </c>
      <c r="F49" s="165">
        <v>0</v>
      </c>
      <c r="G49" s="165">
        <v>0</v>
      </c>
      <c r="H49" s="165">
        <v>60</v>
      </c>
      <c r="I49" s="166">
        <f t="shared" si="51"/>
        <v>60</v>
      </c>
      <c r="J49" s="104">
        <f t="shared" si="52"/>
        <v>0</v>
      </c>
      <c r="K49" s="104">
        <f t="shared" si="53"/>
        <v>0</v>
      </c>
      <c r="L49" s="104">
        <f t="shared" si="54"/>
        <v>60</v>
      </c>
      <c r="M49" s="104">
        <f t="shared" si="55"/>
        <v>60</v>
      </c>
      <c r="N49" s="104">
        <f t="shared" si="56"/>
        <v>80.000000000000014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4.4" hidden="1" outlineLevel="1" x14ac:dyDescent="0.3">
      <c r="A50" s="169" t="str">
        <f>'1. BRIEFING'!A57</f>
        <v>8.3</v>
      </c>
      <c r="B50" s="170" t="str">
        <f>'1. BRIEFING'!B57</f>
        <v>FORNECIMENTO E INSTALAÇÃO DE CORTINEIRO</v>
      </c>
      <c r="C50" s="163" t="str">
        <f>'1. BRIEFING'!C57</f>
        <v>M</v>
      </c>
      <c r="D50" s="163">
        <f>'1. BRIEFING'!D57</f>
        <v>1</v>
      </c>
      <c r="E50" s="164">
        <f t="shared" si="50"/>
        <v>20</v>
      </c>
      <c r="F50" s="165">
        <v>0</v>
      </c>
      <c r="G50" s="165">
        <v>0</v>
      </c>
      <c r="H50" s="165">
        <v>20</v>
      </c>
      <c r="I50" s="166">
        <f t="shared" si="51"/>
        <v>20</v>
      </c>
      <c r="J50" s="104">
        <f t="shared" si="52"/>
        <v>0</v>
      </c>
      <c r="K50" s="104">
        <f t="shared" si="53"/>
        <v>0</v>
      </c>
      <c r="L50" s="104">
        <f t="shared" si="54"/>
        <v>20</v>
      </c>
      <c r="M50" s="104">
        <f t="shared" si="55"/>
        <v>20</v>
      </c>
      <c r="N50" s="104">
        <f t="shared" si="56"/>
        <v>26.666666666666671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4.4" hidden="1" outlineLevel="1" x14ac:dyDescent="0.3">
      <c r="A51" s="169" t="str">
        <f>'1. BRIEFING'!A58</f>
        <v>8.4</v>
      </c>
      <c r="B51" s="170" t="str">
        <f>'1. BRIEFING'!B58</f>
        <v>FORNECIMENTO E INSTALAÇÃO DE SANCAS</v>
      </c>
      <c r="C51" s="163" t="str">
        <f>'1. BRIEFING'!C58</f>
        <v>M</v>
      </c>
      <c r="D51" s="163">
        <f>'1. BRIEFING'!D58</f>
        <v>1</v>
      </c>
      <c r="E51" s="164">
        <f t="shared" si="50"/>
        <v>20</v>
      </c>
      <c r="F51" s="165">
        <v>0</v>
      </c>
      <c r="G51" s="165">
        <v>0</v>
      </c>
      <c r="H51" s="165">
        <v>20</v>
      </c>
      <c r="I51" s="166">
        <f t="shared" si="51"/>
        <v>20</v>
      </c>
      <c r="J51" s="104">
        <f t="shared" si="52"/>
        <v>0</v>
      </c>
      <c r="K51" s="104">
        <f t="shared" si="53"/>
        <v>0</v>
      </c>
      <c r="L51" s="104">
        <f t="shared" si="54"/>
        <v>20</v>
      </c>
      <c r="M51" s="104">
        <f t="shared" si="55"/>
        <v>20</v>
      </c>
      <c r="N51" s="104">
        <f t="shared" si="56"/>
        <v>26.666666666666671</v>
      </c>
      <c r="O51" s="159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4.4" collapsed="1" x14ac:dyDescent="0.3">
      <c r="A52" s="151">
        <f>'1. BRIEFING'!A59</f>
        <v>9</v>
      </c>
      <c r="B52" s="152" t="str">
        <f>'1. BRIEFING'!B59</f>
        <v xml:space="preserve">SERVIÇO EM ESQUADRIA DE MADEIRA </v>
      </c>
      <c r="C52" s="168"/>
      <c r="D52" s="154"/>
      <c r="E52" s="155"/>
      <c r="F52" s="156"/>
      <c r="G52" s="156"/>
      <c r="H52" s="156"/>
      <c r="I52" s="157"/>
      <c r="J52" s="158">
        <f t="shared" ref="J52:N52" si="57">SUM(J53:J58)</f>
        <v>0</v>
      </c>
      <c r="K52" s="158">
        <f t="shared" si="57"/>
        <v>0</v>
      </c>
      <c r="L52" s="158">
        <f t="shared" si="57"/>
        <v>13440</v>
      </c>
      <c r="M52" s="158">
        <f t="shared" si="57"/>
        <v>13440</v>
      </c>
      <c r="N52" s="158">
        <f t="shared" si="57"/>
        <v>17920.000000000004</v>
      </c>
      <c r="O52" s="159">
        <f>N52/$N$92</f>
        <v>0.46537009387733613</v>
      </c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4.4" hidden="1" outlineLevel="1" x14ac:dyDescent="0.3">
      <c r="A53" s="169" t="str">
        <f>'1. BRIEFING'!A60</f>
        <v>9.1</v>
      </c>
      <c r="B53" s="170" t="str">
        <f>'1. BRIEFING'!B60</f>
        <v>FORNECIMENTO E INSTALAÇÃO DE PORTA EM MADEIRA 0,60 x 2,10 m l COMPLETA</v>
      </c>
      <c r="C53" s="163" t="str">
        <f>'1. BRIEFING'!C60</f>
        <v>UN</v>
      </c>
      <c r="D53" s="163">
        <f>'1. BRIEFING'!D60</f>
        <v>1</v>
      </c>
      <c r="E53" s="164">
        <f t="shared" ref="E53:E58" si="58">I53</f>
        <v>2240</v>
      </c>
      <c r="F53" s="165">
        <v>0</v>
      </c>
      <c r="G53" s="165">
        <v>0</v>
      </c>
      <c r="H53" s="165">
        <v>2240</v>
      </c>
      <c r="I53" s="166">
        <f t="shared" ref="I53:I58" si="59">SUM(F53:H53)</f>
        <v>2240</v>
      </c>
      <c r="J53" s="104">
        <f t="shared" ref="J53:J58" si="60">F53*D53</f>
        <v>0</v>
      </c>
      <c r="K53" s="104">
        <f t="shared" ref="K53:K58" si="61">G53*D53</f>
        <v>0</v>
      </c>
      <c r="L53" s="104">
        <f t="shared" ref="L53:L58" si="62">H53*D53</f>
        <v>2240</v>
      </c>
      <c r="M53" s="104">
        <f t="shared" ref="M53:M58" si="63">SUM(J53:L53)</f>
        <v>2240</v>
      </c>
      <c r="N53" s="104">
        <f t="shared" ref="N53:N58" si="64">M53*(1+$N$96)</f>
        <v>2986.666666666667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4.4" hidden="1" outlineLevel="1" x14ac:dyDescent="0.3">
      <c r="A54" s="169" t="str">
        <f>'1. BRIEFING'!A61</f>
        <v>9.2</v>
      </c>
      <c r="B54" s="170" t="str">
        <f>'1. BRIEFING'!B61</f>
        <v>FORNECIMENTO E INSTALAÇÃO DE PORTA EM MADEIRA 0,70 X 2,10 M l COMPLETA</v>
      </c>
      <c r="C54" s="163" t="str">
        <f>'1. BRIEFING'!C61</f>
        <v>UN</v>
      </c>
      <c r="D54" s="163">
        <f>'1. BRIEFING'!D61</f>
        <v>1</v>
      </c>
      <c r="E54" s="164">
        <f t="shared" si="58"/>
        <v>2240</v>
      </c>
      <c r="F54" s="165">
        <v>0</v>
      </c>
      <c r="G54" s="165">
        <v>0</v>
      </c>
      <c r="H54" s="165">
        <v>2240</v>
      </c>
      <c r="I54" s="166">
        <f t="shared" si="59"/>
        <v>2240</v>
      </c>
      <c r="J54" s="104">
        <f t="shared" si="60"/>
        <v>0</v>
      </c>
      <c r="K54" s="104">
        <f t="shared" si="61"/>
        <v>0</v>
      </c>
      <c r="L54" s="104">
        <f t="shared" si="62"/>
        <v>2240</v>
      </c>
      <c r="M54" s="104">
        <f t="shared" si="63"/>
        <v>2240</v>
      </c>
      <c r="N54" s="104">
        <f t="shared" si="64"/>
        <v>2986.666666666667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4.4" hidden="1" outlineLevel="1" x14ac:dyDescent="0.3">
      <c r="A55" s="169" t="str">
        <f>'1. BRIEFING'!A62</f>
        <v>9.3</v>
      </c>
      <c r="B55" s="170" t="str">
        <f>'1. BRIEFING'!B62</f>
        <v>FORNECIMENTO E INSTALAÇÃO DE PORTA EM MADEIRA 0,80 X 2,10 M l COMPLETA</v>
      </c>
      <c r="C55" s="163" t="str">
        <f>'1. BRIEFING'!C62</f>
        <v>UN</v>
      </c>
      <c r="D55" s="163">
        <f>'1. BRIEFING'!D62</f>
        <v>1</v>
      </c>
      <c r="E55" s="164">
        <f t="shared" si="58"/>
        <v>2240</v>
      </c>
      <c r="F55" s="165">
        <v>0</v>
      </c>
      <c r="G55" s="165">
        <v>0</v>
      </c>
      <c r="H55" s="165">
        <v>2240</v>
      </c>
      <c r="I55" s="166">
        <f t="shared" si="59"/>
        <v>2240</v>
      </c>
      <c r="J55" s="104">
        <f t="shared" si="60"/>
        <v>0</v>
      </c>
      <c r="K55" s="104">
        <f t="shared" si="61"/>
        <v>0</v>
      </c>
      <c r="L55" s="104">
        <f t="shared" si="62"/>
        <v>2240</v>
      </c>
      <c r="M55" s="104">
        <f t="shared" si="63"/>
        <v>2240</v>
      </c>
      <c r="N55" s="104">
        <f t="shared" si="64"/>
        <v>2986.666666666667</v>
      </c>
      <c r="O55" s="159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4.4" hidden="1" outlineLevel="1" x14ac:dyDescent="0.3">
      <c r="A56" s="169" t="str">
        <f>'1. BRIEFING'!A63</f>
        <v>9.4</v>
      </c>
      <c r="B56" s="170" t="str">
        <f>'1. BRIEFING'!B63</f>
        <v>FORNECIMENTO E INSTALAÇÃO DE PORTA EM MADEIRA 0,90 X 2,10 M l COMPLETA</v>
      </c>
      <c r="C56" s="163" t="str">
        <f>'1. BRIEFING'!C63</f>
        <v>UN</v>
      </c>
      <c r="D56" s="163">
        <f>'1. BRIEFING'!D63</f>
        <v>1</v>
      </c>
      <c r="E56" s="164">
        <f t="shared" si="58"/>
        <v>2240</v>
      </c>
      <c r="F56" s="165">
        <v>0</v>
      </c>
      <c r="G56" s="165">
        <v>0</v>
      </c>
      <c r="H56" s="165">
        <v>2240</v>
      </c>
      <c r="I56" s="166">
        <f t="shared" si="59"/>
        <v>2240</v>
      </c>
      <c r="J56" s="104">
        <f t="shared" si="60"/>
        <v>0</v>
      </c>
      <c r="K56" s="104">
        <f t="shared" si="61"/>
        <v>0</v>
      </c>
      <c r="L56" s="104">
        <f t="shared" si="62"/>
        <v>2240</v>
      </c>
      <c r="M56" s="104">
        <f t="shared" si="63"/>
        <v>2240</v>
      </c>
      <c r="N56" s="104">
        <f t="shared" si="64"/>
        <v>2986.666666666667</v>
      </c>
      <c r="O56" s="159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4.4" hidden="1" outlineLevel="1" x14ac:dyDescent="0.3">
      <c r="A57" s="169" t="str">
        <f>'1. BRIEFING'!A64</f>
        <v>9.5</v>
      </c>
      <c r="B57" s="170" t="str">
        <f>'1. BRIEFING'!B64</f>
        <v>FORNECIMENTO E INSTALAÇÃO DE PORTA EM MADEIRA 0,90 X 2,10 M l COMPLETA</v>
      </c>
      <c r="C57" s="163" t="str">
        <f>'1. BRIEFING'!C64</f>
        <v>UN</v>
      </c>
      <c r="D57" s="163">
        <f>'1. BRIEFING'!D64</f>
        <v>1</v>
      </c>
      <c r="E57" s="164">
        <f t="shared" si="58"/>
        <v>2240</v>
      </c>
      <c r="F57" s="165">
        <v>0</v>
      </c>
      <c r="G57" s="165">
        <v>0</v>
      </c>
      <c r="H57" s="165">
        <v>2240</v>
      </c>
      <c r="I57" s="166">
        <f t="shared" si="59"/>
        <v>2240</v>
      </c>
      <c r="J57" s="104">
        <f t="shared" si="60"/>
        <v>0</v>
      </c>
      <c r="K57" s="104">
        <f t="shared" si="61"/>
        <v>0</v>
      </c>
      <c r="L57" s="104">
        <f t="shared" si="62"/>
        <v>2240</v>
      </c>
      <c r="M57" s="104">
        <f t="shared" si="63"/>
        <v>2240</v>
      </c>
      <c r="N57" s="104">
        <f t="shared" si="64"/>
        <v>2986.666666666667</v>
      </c>
      <c r="O57" s="159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4.4" hidden="1" outlineLevel="1" x14ac:dyDescent="0.3">
      <c r="A58" s="169" t="str">
        <f>'1. BRIEFING'!A65</f>
        <v>9.6</v>
      </c>
      <c r="B58" s="170" t="str">
        <f>'1. BRIEFING'!B65</f>
        <v>FORNECIMENTO E INSTALAÇÃO DE PORTA EM MADEIRA 0,90 X 2,10 M l COMPLETA</v>
      </c>
      <c r="C58" s="163" t="str">
        <f>'1. BRIEFING'!C65</f>
        <v>UN</v>
      </c>
      <c r="D58" s="163">
        <f>'1. BRIEFING'!D65</f>
        <v>1</v>
      </c>
      <c r="E58" s="164">
        <f t="shared" si="58"/>
        <v>2240</v>
      </c>
      <c r="F58" s="165">
        <v>0</v>
      </c>
      <c r="G58" s="165">
        <v>0</v>
      </c>
      <c r="H58" s="165">
        <v>2240</v>
      </c>
      <c r="I58" s="166">
        <f t="shared" si="59"/>
        <v>2240</v>
      </c>
      <c r="J58" s="104">
        <f t="shared" si="60"/>
        <v>0</v>
      </c>
      <c r="K58" s="104">
        <f t="shared" si="61"/>
        <v>0</v>
      </c>
      <c r="L58" s="104">
        <f t="shared" si="62"/>
        <v>2240</v>
      </c>
      <c r="M58" s="104">
        <f t="shared" si="63"/>
        <v>2240</v>
      </c>
      <c r="N58" s="104">
        <f t="shared" si="64"/>
        <v>2986.666666666667</v>
      </c>
      <c r="O58" s="159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4.4" collapsed="1" x14ac:dyDescent="0.3">
      <c r="A59" s="151">
        <f>'1. BRIEFING'!A66</f>
        <v>10</v>
      </c>
      <c r="B59" s="152" t="str">
        <f>'1. BRIEFING'!B66</f>
        <v>SERVIÇO DE MARMORARIA</v>
      </c>
      <c r="C59" s="168"/>
      <c r="D59" s="154"/>
      <c r="E59" s="155"/>
      <c r="F59" s="156"/>
      <c r="G59" s="156"/>
      <c r="H59" s="156"/>
      <c r="I59" s="157"/>
      <c r="J59" s="158">
        <f t="shared" ref="J59:N59" si="65">SUM(J60:J63)</f>
        <v>0</v>
      </c>
      <c r="K59" s="158">
        <f t="shared" si="65"/>
        <v>0</v>
      </c>
      <c r="L59" s="158">
        <f t="shared" si="65"/>
        <v>3000</v>
      </c>
      <c r="M59" s="158">
        <f t="shared" si="65"/>
        <v>3000</v>
      </c>
      <c r="N59" s="158">
        <f t="shared" si="65"/>
        <v>4000.0000000000009</v>
      </c>
      <c r="O59" s="159">
        <f>N59/$N$92</f>
        <v>0.10387725309761968</v>
      </c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4.4" hidden="1" outlineLevel="1" x14ac:dyDescent="0.3">
      <c r="A60" s="160" t="str">
        <f>'1. BRIEFING'!A67</f>
        <v>10.1</v>
      </c>
      <c r="B60" s="167" t="str">
        <f>'1. BRIEFING'!B67</f>
        <v>FORNECIMENTO E INSTALAÇÃO DE BANCADA EM GRANITO</v>
      </c>
      <c r="C60" s="162" t="str">
        <f>'1. BRIEFING'!C67</f>
        <v>VB</v>
      </c>
      <c r="D60" s="163">
        <f>'1. BRIEFING'!D67</f>
        <v>1</v>
      </c>
      <c r="E60" s="164">
        <f t="shared" ref="E60:E63" si="66">I60</f>
        <v>1500</v>
      </c>
      <c r="F60" s="165">
        <v>0</v>
      </c>
      <c r="G60" s="165">
        <v>0</v>
      </c>
      <c r="H60" s="165">
        <v>1500</v>
      </c>
      <c r="I60" s="166">
        <f t="shared" ref="I60:I63" si="67">SUM(F60:H60)</f>
        <v>1500</v>
      </c>
      <c r="J60" s="104">
        <f t="shared" ref="J60:J63" si="68">F60*D60</f>
        <v>0</v>
      </c>
      <c r="K60" s="104">
        <f t="shared" ref="K60:K63" si="69">G60*D60</f>
        <v>0</v>
      </c>
      <c r="L60" s="104">
        <f t="shared" ref="L60:L63" si="70">H60*D60</f>
        <v>1500</v>
      </c>
      <c r="M60" s="104">
        <f t="shared" ref="M60:M63" si="71">SUM(J60:L60)</f>
        <v>1500</v>
      </c>
      <c r="N60" s="104">
        <f t="shared" ref="N60:N63" si="72">M60*(1+$N$96)</f>
        <v>2000.0000000000002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4.4" hidden="1" outlineLevel="1" x14ac:dyDescent="0.3">
      <c r="A61" s="160" t="str">
        <f>'1. BRIEFING'!A68</f>
        <v>10.2</v>
      </c>
      <c r="B61" s="167" t="str">
        <f>'1. BRIEFING'!B68</f>
        <v>FORNECIMENTO E INSTALAÇÃO DE NICHO EM GRANITO</v>
      </c>
      <c r="C61" s="162" t="str">
        <f>'1. BRIEFING'!C68</f>
        <v>VB</v>
      </c>
      <c r="D61" s="163">
        <f>'1. BRIEFING'!D68</f>
        <v>1</v>
      </c>
      <c r="E61" s="164">
        <f t="shared" si="66"/>
        <v>500</v>
      </c>
      <c r="F61" s="165">
        <v>0</v>
      </c>
      <c r="G61" s="165">
        <v>0</v>
      </c>
      <c r="H61" s="165">
        <v>500</v>
      </c>
      <c r="I61" s="166">
        <f t="shared" si="67"/>
        <v>500</v>
      </c>
      <c r="J61" s="104">
        <f t="shared" si="68"/>
        <v>0</v>
      </c>
      <c r="K61" s="104">
        <f t="shared" si="69"/>
        <v>0</v>
      </c>
      <c r="L61" s="104">
        <f t="shared" si="70"/>
        <v>500</v>
      </c>
      <c r="M61" s="104">
        <f t="shared" si="71"/>
        <v>500</v>
      </c>
      <c r="N61" s="104">
        <f t="shared" si="72"/>
        <v>666.66666666666674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4.4" hidden="1" outlineLevel="1" x14ac:dyDescent="0.3">
      <c r="A62" s="160" t="str">
        <f>'1. BRIEFING'!A69</f>
        <v>10.3</v>
      </c>
      <c r="B62" s="167" t="str">
        <f>'1. BRIEFING'!B69</f>
        <v>FORNECIMENTO E INSTALAÇÃO DE DIVBOX EM GRANITO</v>
      </c>
      <c r="C62" s="162" t="str">
        <f>'1. BRIEFING'!C69</f>
        <v>VB</v>
      </c>
      <c r="D62" s="163">
        <f>'1. BRIEFING'!D69</f>
        <v>1</v>
      </c>
      <c r="E62" s="164">
        <f t="shared" si="66"/>
        <v>500</v>
      </c>
      <c r="F62" s="165">
        <v>0</v>
      </c>
      <c r="G62" s="165">
        <v>0</v>
      </c>
      <c r="H62" s="165">
        <v>500</v>
      </c>
      <c r="I62" s="166">
        <f t="shared" si="67"/>
        <v>500</v>
      </c>
      <c r="J62" s="104">
        <f t="shared" si="68"/>
        <v>0</v>
      </c>
      <c r="K62" s="104">
        <f t="shared" si="69"/>
        <v>0</v>
      </c>
      <c r="L62" s="104">
        <f t="shared" si="70"/>
        <v>500</v>
      </c>
      <c r="M62" s="104">
        <f t="shared" si="71"/>
        <v>500</v>
      </c>
      <c r="N62" s="104">
        <f t="shared" si="72"/>
        <v>666.66666666666674</v>
      </c>
      <c r="O62" s="159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4.4" hidden="1" outlineLevel="1" x14ac:dyDescent="0.3">
      <c r="A63" s="160" t="str">
        <f>'1. BRIEFING'!A70</f>
        <v>10.4</v>
      </c>
      <c r="B63" s="167" t="str">
        <f>'1. BRIEFING'!B70</f>
        <v>FORNECIMENTO E INSTALAÇÃO DE NICHO EM GRANITO</v>
      </c>
      <c r="C63" s="162" t="str">
        <f>'1. BRIEFING'!C70</f>
        <v>VB</v>
      </c>
      <c r="D63" s="163">
        <f>'1. BRIEFING'!D70</f>
        <v>1</v>
      </c>
      <c r="E63" s="164">
        <f t="shared" si="66"/>
        <v>500</v>
      </c>
      <c r="F63" s="165">
        <v>0</v>
      </c>
      <c r="G63" s="165">
        <v>0</v>
      </c>
      <c r="H63" s="165">
        <v>500</v>
      </c>
      <c r="I63" s="166">
        <f t="shared" si="67"/>
        <v>500</v>
      </c>
      <c r="J63" s="104">
        <f t="shared" si="68"/>
        <v>0</v>
      </c>
      <c r="K63" s="104">
        <f t="shared" si="69"/>
        <v>0</v>
      </c>
      <c r="L63" s="104">
        <f t="shared" si="70"/>
        <v>500</v>
      </c>
      <c r="M63" s="104">
        <f t="shared" si="71"/>
        <v>500</v>
      </c>
      <c r="N63" s="104">
        <f t="shared" si="72"/>
        <v>666.66666666666674</v>
      </c>
      <c r="O63" s="159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4.4" collapsed="1" x14ac:dyDescent="0.3">
      <c r="A64" s="151">
        <f>'1. BRIEFING'!A71</f>
        <v>11</v>
      </c>
      <c r="B64" s="152" t="str">
        <f>'1. BRIEFING'!B71</f>
        <v>REVESTIMENTO EM ARGAMASSA</v>
      </c>
      <c r="C64" s="168"/>
      <c r="D64" s="154"/>
      <c r="E64" s="155"/>
      <c r="F64" s="156"/>
      <c r="G64" s="156"/>
      <c r="H64" s="156"/>
      <c r="I64" s="157"/>
      <c r="J64" s="158">
        <f t="shared" ref="J64:N64" si="73">SUM(J65:J67)</f>
        <v>150</v>
      </c>
      <c r="K64" s="158">
        <f t="shared" si="73"/>
        <v>63</v>
      </c>
      <c r="L64" s="158">
        <f t="shared" si="73"/>
        <v>0</v>
      </c>
      <c r="M64" s="158">
        <f t="shared" si="73"/>
        <v>213</v>
      </c>
      <c r="N64" s="158">
        <f t="shared" si="73"/>
        <v>284</v>
      </c>
      <c r="O64" s="159">
        <f>N64/$N$92</f>
        <v>7.3752849699309959E-3</v>
      </c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4.4" hidden="1" outlineLevel="1" x14ac:dyDescent="0.3">
      <c r="A65" s="169" t="str">
        <f>'1. BRIEFING'!A72</f>
        <v>11.1</v>
      </c>
      <c r="B65" s="170" t="str">
        <f>'1. BRIEFING'!B72</f>
        <v>APLICAÇÃO DE CHAPISCO E REBOCO EM PAREDE DE ALVENARIA NOVA</v>
      </c>
      <c r="C65" s="163" t="str">
        <f>'1. BRIEFING'!C72</f>
        <v>M²</v>
      </c>
      <c r="D65" s="163">
        <f>'1. BRIEFING'!D72</f>
        <v>1</v>
      </c>
      <c r="E65" s="164">
        <f t="shared" ref="E65:E67" si="74">I65</f>
        <v>71</v>
      </c>
      <c r="F65" s="165">
        <v>50</v>
      </c>
      <c r="G65" s="165">
        <v>21</v>
      </c>
      <c r="H65" s="165">
        <v>0</v>
      </c>
      <c r="I65" s="166">
        <f t="shared" ref="I65:I67" si="75">SUM(F65:H65)</f>
        <v>71</v>
      </c>
      <c r="J65" s="104">
        <f t="shared" ref="J65:J67" si="76">F65*D65</f>
        <v>50</v>
      </c>
      <c r="K65" s="104">
        <f t="shared" ref="K65:K67" si="77">G65*D65</f>
        <v>21</v>
      </c>
      <c r="L65" s="104">
        <f t="shared" ref="L65:L67" si="78">H65*D65</f>
        <v>0</v>
      </c>
      <c r="M65" s="104">
        <f t="shared" ref="M65:M67" si="79">SUM(J65:L65)</f>
        <v>71</v>
      </c>
      <c r="N65" s="104">
        <f t="shared" ref="N65:N67" si="80">M65*(1+$N$96)</f>
        <v>94.666666666666671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4.4" hidden="1" outlineLevel="1" x14ac:dyDescent="0.3">
      <c r="A66" s="169" t="str">
        <f>'1. BRIEFING'!A73</f>
        <v>11.2</v>
      </c>
      <c r="B66" s="170" t="str">
        <f>'1. BRIEFING'!B73</f>
        <v>REGULARIZAÇÃO COM REBOCO FINO PARA RECEBIMENTO DE REVESTIMENTO NOVO</v>
      </c>
      <c r="C66" s="163" t="str">
        <f>'1. BRIEFING'!C73</f>
        <v>M²</v>
      </c>
      <c r="D66" s="163">
        <f>'1. BRIEFING'!D73</f>
        <v>1</v>
      </c>
      <c r="E66" s="164">
        <f t="shared" si="74"/>
        <v>71</v>
      </c>
      <c r="F66" s="165">
        <v>50</v>
      </c>
      <c r="G66" s="165">
        <v>21</v>
      </c>
      <c r="H66" s="165">
        <v>0</v>
      </c>
      <c r="I66" s="166">
        <f t="shared" si="75"/>
        <v>71</v>
      </c>
      <c r="J66" s="104">
        <f t="shared" si="76"/>
        <v>50</v>
      </c>
      <c r="K66" s="104">
        <f t="shared" si="77"/>
        <v>21</v>
      </c>
      <c r="L66" s="104">
        <f t="shared" si="78"/>
        <v>0</v>
      </c>
      <c r="M66" s="104">
        <f t="shared" si="79"/>
        <v>71</v>
      </c>
      <c r="N66" s="104">
        <f t="shared" si="80"/>
        <v>94.666666666666671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4.4" hidden="1" outlineLevel="1" x14ac:dyDescent="0.3">
      <c r="A67" s="169" t="str">
        <f>'1. BRIEFING'!A74</f>
        <v>11.3</v>
      </c>
      <c r="B67" s="170" t="str">
        <f>'1. BRIEFING'!B74</f>
        <v>REGULARIZAÇÃO DE PISO COM ATÉ 5 CM PARA RECEBIMENTO DE REVESTIMENTO NONO</v>
      </c>
      <c r="C67" s="163" t="str">
        <f>'1. BRIEFING'!C74</f>
        <v>M²</v>
      </c>
      <c r="D67" s="163">
        <f>'1. BRIEFING'!D74</f>
        <v>1</v>
      </c>
      <c r="E67" s="164">
        <f t="shared" si="74"/>
        <v>71</v>
      </c>
      <c r="F67" s="165">
        <v>50</v>
      </c>
      <c r="G67" s="165">
        <v>21</v>
      </c>
      <c r="H67" s="165">
        <v>0</v>
      </c>
      <c r="I67" s="166">
        <f t="shared" si="75"/>
        <v>71</v>
      </c>
      <c r="J67" s="104">
        <f t="shared" si="76"/>
        <v>50</v>
      </c>
      <c r="K67" s="104">
        <f t="shared" si="77"/>
        <v>21</v>
      </c>
      <c r="L67" s="104">
        <f t="shared" si="78"/>
        <v>0</v>
      </c>
      <c r="M67" s="104">
        <f t="shared" si="79"/>
        <v>71</v>
      </c>
      <c r="N67" s="104">
        <f t="shared" si="80"/>
        <v>94.666666666666671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4.4" collapsed="1" x14ac:dyDescent="0.3">
      <c r="A68" s="151">
        <f>'1. BRIEFING'!A75</f>
        <v>12</v>
      </c>
      <c r="B68" s="152" t="str">
        <f>'1. BRIEFING'!B75</f>
        <v xml:space="preserve">REVESTIMENTO EM PORCELANATO </v>
      </c>
      <c r="C68" s="168">
        <f>'1. BRIEFING'!C75</f>
        <v>0</v>
      </c>
      <c r="D68" s="154"/>
      <c r="E68" s="155"/>
      <c r="F68" s="156"/>
      <c r="G68" s="156"/>
      <c r="H68" s="156"/>
      <c r="I68" s="157"/>
      <c r="J68" s="158">
        <f t="shared" ref="J68:N68" si="81">SUM(J69:J74)</f>
        <v>300</v>
      </c>
      <c r="K68" s="158">
        <f t="shared" si="81"/>
        <v>300</v>
      </c>
      <c r="L68" s="158">
        <f t="shared" si="81"/>
        <v>0</v>
      </c>
      <c r="M68" s="158">
        <f t="shared" si="81"/>
        <v>600</v>
      </c>
      <c r="N68" s="158">
        <f t="shared" si="81"/>
        <v>800.00000000000011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4.4" hidden="1" outlineLevel="1" x14ac:dyDescent="0.3">
      <c r="A69" s="169" t="str">
        <f>'1. BRIEFING'!A76</f>
        <v>12.1</v>
      </c>
      <c r="B69" s="170" t="str">
        <f>'1. BRIEFING'!B76</f>
        <v>REVESTIMENTO EM PISO ÁREA COMUM  l BIANCOGRÉS CRISTALLO 60X60 CM</v>
      </c>
      <c r="C69" s="163" t="str">
        <f>'1. BRIEFING'!C76</f>
        <v>M²</v>
      </c>
      <c r="D69" s="163">
        <f>'1. BRIEFING'!D76</f>
        <v>1</v>
      </c>
      <c r="E69" s="164">
        <f t="shared" ref="E69:E74" si="82">I69</f>
        <v>100</v>
      </c>
      <c r="F69" s="165">
        <v>50</v>
      </c>
      <c r="G69" s="165">
        <v>50</v>
      </c>
      <c r="H69" s="165">
        <v>0</v>
      </c>
      <c r="I69" s="166">
        <f t="shared" ref="I69:I74" si="83">SUM(F69:H69)</f>
        <v>100</v>
      </c>
      <c r="J69" s="104">
        <f t="shared" ref="J69:J74" si="84">F69*D69</f>
        <v>50</v>
      </c>
      <c r="K69" s="104">
        <f t="shared" ref="K69:K74" si="85">G69*D69</f>
        <v>50</v>
      </c>
      <c r="L69" s="104">
        <f t="shared" ref="L69:L74" si="86">H69*D69</f>
        <v>0</v>
      </c>
      <c r="M69" s="104">
        <f t="shared" ref="M69:M74" si="87">SUM(J69:L69)</f>
        <v>100</v>
      </c>
      <c r="N69" s="104">
        <f t="shared" ref="N69:N74" si="88">M69*(1+$N$96)</f>
        <v>133.33333333333334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4.4" hidden="1" outlineLevel="1" x14ac:dyDescent="0.3">
      <c r="A70" s="169" t="str">
        <f>'1. BRIEFING'!A77</f>
        <v>12.2</v>
      </c>
      <c r="B70" s="170" t="str">
        <f>'1. BRIEFING'!B77</f>
        <v>REVESTIMENTO EM PISO ÁREA MOLHADA l BIANCOGRÉS CRISTALLO 60X60 CM</v>
      </c>
      <c r="C70" s="163" t="str">
        <f>'1. BRIEFING'!C77</f>
        <v>M²</v>
      </c>
      <c r="D70" s="163">
        <f>'1. BRIEFING'!D77</f>
        <v>1</v>
      </c>
      <c r="E70" s="164">
        <f t="shared" si="82"/>
        <v>100</v>
      </c>
      <c r="F70" s="165">
        <v>50</v>
      </c>
      <c r="G70" s="165">
        <v>50</v>
      </c>
      <c r="H70" s="165">
        <v>0</v>
      </c>
      <c r="I70" s="166">
        <f t="shared" si="83"/>
        <v>100</v>
      </c>
      <c r="J70" s="104">
        <f t="shared" si="84"/>
        <v>50</v>
      </c>
      <c r="K70" s="104">
        <f t="shared" si="85"/>
        <v>50</v>
      </c>
      <c r="L70" s="104">
        <f t="shared" si="86"/>
        <v>0</v>
      </c>
      <c r="M70" s="104">
        <f t="shared" si="87"/>
        <v>100</v>
      </c>
      <c r="N70" s="104">
        <f t="shared" si="88"/>
        <v>133.33333333333334</v>
      </c>
      <c r="O70" s="159">
        <f>N70/$N$92</f>
        <v>3.4625751032539885E-3</v>
      </c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4.4" hidden="1" outlineLevel="1" x14ac:dyDescent="0.3">
      <c r="A71" s="169" t="str">
        <f>'1. BRIEFING'!A78</f>
        <v>12.3</v>
      </c>
      <c r="B71" s="170" t="str">
        <f>'1. BRIEFING'!B78</f>
        <v>REVESTIMENTO EM PAREDE COZINHA l POINTER 60X60 CM</v>
      </c>
      <c r="C71" s="163" t="str">
        <f>'1. BRIEFING'!C78</f>
        <v>M²</v>
      </c>
      <c r="D71" s="163">
        <f>'1. BRIEFING'!D78</f>
        <v>1</v>
      </c>
      <c r="E71" s="164">
        <f t="shared" si="82"/>
        <v>100</v>
      </c>
      <c r="F71" s="165">
        <v>50</v>
      </c>
      <c r="G71" s="165">
        <v>50</v>
      </c>
      <c r="H71" s="165">
        <v>0</v>
      </c>
      <c r="I71" s="166">
        <f t="shared" si="83"/>
        <v>100</v>
      </c>
      <c r="J71" s="104">
        <f t="shared" si="84"/>
        <v>50</v>
      </c>
      <c r="K71" s="104">
        <f t="shared" si="85"/>
        <v>50</v>
      </c>
      <c r="L71" s="104">
        <f t="shared" si="86"/>
        <v>0</v>
      </c>
      <c r="M71" s="104">
        <f t="shared" si="87"/>
        <v>100</v>
      </c>
      <c r="N71" s="104">
        <f t="shared" si="88"/>
        <v>133.33333333333334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4.4" hidden="1" outlineLevel="1" x14ac:dyDescent="0.3">
      <c r="A72" s="169" t="str">
        <f>'1. BRIEFING'!A79</f>
        <v>12.4</v>
      </c>
      <c r="B72" s="170" t="str">
        <f>'1. BRIEFING'!B79</f>
        <v>REVESTIMENTO EM PAREDE BANHEIROS l POINTER 60X60 CM</v>
      </c>
      <c r="C72" s="163" t="str">
        <f>'1. BRIEFING'!C79</f>
        <v>M²</v>
      </c>
      <c r="D72" s="163">
        <f>'1. BRIEFING'!D79</f>
        <v>1</v>
      </c>
      <c r="E72" s="164">
        <f t="shared" si="82"/>
        <v>100</v>
      </c>
      <c r="F72" s="165">
        <v>50</v>
      </c>
      <c r="G72" s="165">
        <v>50</v>
      </c>
      <c r="H72" s="165">
        <v>0</v>
      </c>
      <c r="I72" s="166">
        <f t="shared" si="83"/>
        <v>100</v>
      </c>
      <c r="J72" s="104">
        <f t="shared" si="84"/>
        <v>50</v>
      </c>
      <c r="K72" s="104">
        <f t="shared" si="85"/>
        <v>50</v>
      </c>
      <c r="L72" s="104">
        <f t="shared" si="86"/>
        <v>0</v>
      </c>
      <c r="M72" s="104">
        <f t="shared" si="87"/>
        <v>100</v>
      </c>
      <c r="N72" s="104">
        <f t="shared" si="88"/>
        <v>133.33333333333334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4.4" hidden="1" outlineLevel="1" x14ac:dyDescent="0.3">
      <c r="A73" s="169" t="str">
        <f>'1. BRIEFING'!A80</f>
        <v>12.5</v>
      </c>
      <c r="B73" s="170" t="str">
        <f>'1. BRIEFING'!B80</f>
        <v>REVESTIMENTO EM PAREDE ÁREA DE SERVIÇO l POINTER 60X60 CM</v>
      </c>
      <c r="C73" s="163" t="str">
        <f>'1. BRIEFING'!C80</f>
        <v>M²</v>
      </c>
      <c r="D73" s="163">
        <f>'1. BRIEFING'!D80</f>
        <v>1</v>
      </c>
      <c r="E73" s="164">
        <f t="shared" si="82"/>
        <v>100</v>
      </c>
      <c r="F73" s="165">
        <v>50</v>
      </c>
      <c r="G73" s="165">
        <v>50</v>
      </c>
      <c r="H73" s="165">
        <v>0</v>
      </c>
      <c r="I73" s="166">
        <f t="shared" si="83"/>
        <v>100</v>
      </c>
      <c r="J73" s="104">
        <f t="shared" si="84"/>
        <v>50</v>
      </c>
      <c r="K73" s="104">
        <f t="shared" si="85"/>
        <v>50</v>
      </c>
      <c r="L73" s="104">
        <f t="shared" si="86"/>
        <v>0</v>
      </c>
      <c r="M73" s="104">
        <f t="shared" si="87"/>
        <v>100</v>
      </c>
      <c r="N73" s="104">
        <f t="shared" si="88"/>
        <v>133.33333333333334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4.4" hidden="1" outlineLevel="1" x14ac:dyDescent="0.3">
      <c r="A74" s="169" t="str">
        <f>'1. BRIEFING'!A81</f>
        <v>12.6</v>
      </c>
      <c r="B74" s="170" t="str">
        <f>'1. BRIEFING'!B81</f>
        <v>REVESTIMENTO EM PAREDE VARANDA l POINTER 60X60 CM</v>
      </c>
      <c r="C74" s="163" t="str">
        <f>'1. BRIEFING'!C81</f>
        <v>M²</v>
      </c>
      <c r="D74" s="163">
        <f>'1. BRIEFING'!D81</f>
        <v>1</v>
      </c>
      <c r="E74" s="164">
        <f t="shared" si="82"/>
        <v>100</v>
      </c>
      <c r="F74" s="165">
        <v>50</v>
      </c>
      <c r="G74" s="165">
        <v>50</v>
      </c>
      <c r="H74" s="165">
        <v>0</v>
      </c>
      <c r="I74" s="166">
        <f t="shared" si="83"/>
        <v>100</v>
      </c>
      <c r="J74" s="104">
        <f t="shared" si="84"/>
        <v>50</v>
      </c>
      <c r="K74" s="104">
        <f t="shared" si="85"/>
        <v>50</v>
      </c>
      <c r="L74" s="104">
        <f t="shared" si="86"/>
        <v>0</v>
      </c>
      <c r="M74" s="104">
        <f t="shared" si="87"/>
        <v>100</v>
      </c>
      <c r="N74" s="104">
        <f t="shared" si="88"/>
        <v>133.33333333333334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4.4" collapsed="1" x14ac:dyDescent="0.3">
      <c r="A75" s="151">
        <f>'1. BRIEFING'!A82</f>
        <v>13</v>
      </c>
      <c r="B75" s="152" t="str">
        <f>'1. BRIEFING'!B82</f>
        <v>LOUÇAS E METAIS</v>
      </c>
      <c r="C75" s="168">
        <f>'1. BRIEFING'!C82</f>
        <v>0</v>
      </c>
      <c r="D75" s="154"/>
      <c r="E75" s="157"/>
      <c r="F75" s="156"/>
      <c r="G75" s="156"/>
      <c r="H75" s="156"/>
      <c r="I75" s="157"/>
      <c r="J75" s="158">
        <f t="shared" ref="J75:N75" si="89">SUM(J76:J81)</f>
        <v>300</v>
      </c>
      <c r="K75" s="158">
        <f t="shared" si="89"/>
        <v>300</v>
      </c>
      <c r="L75" s="158">
        <f t="shared" si="89"/>
        <v>0</v>
      </c>
      <c r="M75" s="158">
        <f t="shared" si="89"/>
        <v>600</v>
      </c>
      <c r="N75" s="158">
        <f t="shared" si="89"/>
        <v>800.00000000000011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4.4" hidden="1" outlineLevel="1" x14ac:dyDescent="0.3">
      <c r="A76" s="169" t="str">
        <f>'1. BRIEFING'!A83</f>
        <v>13.1</v>
      </c>
      <c r="B76" s="170" t="str">
        <f>'1. BRIEFING'!B83</f>
        <v>INSTALAÇÃO DE VASO SANITÁRIO COM CX ACOPLADA l ECOLUS CELITE BRANCA</v>
      </c>
      <c r="C76" s="163" t="str">
        <f>'1. BRIEFING'!C83</f>
        <v>UN</v>
      </c>
      <c r="D76" s="163">
        <f>'1. BRIEFING'!D83</f>
        <v>1</v>
      </c>
      <c r="E76" s="164">
        <f t="shared" ref="E76:E81" si="90">I76</f>
        <v>100</v>
      </c>
      <c r="F76" s="165">
        <v>50</v>
      </c>
      <c r="G76" s="165">
        <v>50</v>
      </c>
      <c r="H76" s="165">
        <v>0</v>
      </c>
      <c r="I76" s="166">
        <f t="shared" ref="I76:I81" si="91">SUM(F76:H76)</f>
        <v>100</v>
      </c>
      <c r="J76" s="104">
        <f t="shared" ref="J76:J81" si="92">F76*D76</f>
        <v>50</v>
      </c>
      <c r="K76" s="104">
        <f t="shared" ref="K76:K81" si="93">G76*D76</f>
        <v>50</v>
      </c>
      <c r="L76" s="104">
        <f t="shared" ref="L76:L81" si="94">H76*D76</f>
        <v>0</v>
      </c>
      <c r="M76" s="104">
        <f t="shared" ref="M76:M81" si="95">SUM(J76:L76)</f>
        <v>100</v>
      </c>
      <c r="N76" s="104">
        <f t="shared" ref="N76:N81" si="96">M76*(1+$N$96)</f>
        <v>133.33333333333334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4.4" hidden="1" outlineLevel="1" x14ac:dyDescent="0.3">
      <c r="A77" s="169" t="str">
        <f>'1. BRIEFING'!A84</f>
        <v>13.2</v>
      </c>
      <c r="B77" s="170" t="str">
        <f>'1. BRIEFING'!B84</f>
        <v>INSTALAÇÃO DE CUBA SUSPENSA DE CANTO EM LOUÇA BRANCA l CELITE</v>
      </c>
      <c r="C77" s="163" t="str">
        <f>'1. BRIEFING'!C84</f>
        <v>UN</v>
      </c>
      <c r="D77" s="163">
        <f>'1. BRIEFING'!D84</f>
        <v>1</v>
      </c>
      <c r="E77" s="164">
        <f t="shared" si="90"/>
        <v>100</v>
      </c>
      <c r="F77" s="165">
        <v>50</v>
      </c>
      <c r="G77" s="165">
        <v>50</v>
      </c>
      <c r="H77" s="165">
        <v>0</v>
      </c>
      <c r="I77" s="166">
        <f t="shared" si="91"/>
        <v>100</v>
      </c>
      <c r="J77" s="104">
        <f t="shared" si="92"/>
        <v>50</v>
      </c>
      <c r="K77" s="104">
        <f t="shared" si="93"/>
        <v>50</v>
      </c>
      <c r="L77" s="104">
        <f t="shared" si="94"/>
        <v>0</v>
      </c>
      <c r="M77" s="104">
        <f t="shared" si="95"/>
        <v>100</v>
      </c>
      <c r="N77" s="104">
        <f t="shared" si="96"/>
        <v>133.33333333333334</v>
      </c>
      <c r="O77" s="159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4.4" hidden="1" outlineLevel="1" x14ac:dyDescent="0.3">
      <c r="A78" s="169" t="str">
        <f>'1. BRIEFING'!A85</f>
        <v>13.3</v>
      </c>
      <c r="B78" s="170" t="str">
        <f>'1. BRIEFING'!B85</f>
        <v>INSTALAÇÃO DE TORNEIRA BICA ALTA</v>
      </c>
      <c r="C78" s="163" t="str">
        <f>'1. BRIEFING'!C85</f>
        <v>UN</v>
      </c>
      <c r="D78" s="163">
        <f>'1. BRIEFING'!D85</f>
        <v>1</v>
      </c>
      <c r="E78" s="164">
        <f t="shared" si="90"/>
        <v>100</v>
      </c>
      <c r="F78" s="165">
        <v>50</v>
      </c>
      <c r="G78" s="165">
        <v>50</v>
      </c>
      <c r="H78" s="165">
        <v>0</v>
      </c>
      <c r="I78" s="166">
        <f t="shared" si="91"/>
        <v>100</v>
      </c>
      <c r="J78" s="104">
        <f t="shared" si="92"/>
        <v>50</v>
      </c>
      <c r="K78" s="104">
        <f t="shared" si="93"/>
        <v>50</v>
      </c>
      <c r="L78" s="104">
        <f t="shared" si="94"/>
        <v>0</v>
      </c>
      <c r="M78" s="104">
        <f t="shared" si="95"/>
        <v>100</v>
      </c>
      <c r="N78" s="104">
        <f t="shared" si="96"/>
        <v>133.33333333333334</v>
      </c>
      <c r="O78" s="159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4.4" hidden="1" outlineLevel="1" x14ac:dyDescent="0.3">
      <c r="A79" s="169" t="str">
        <f>'1. BRIEFING'!A86</f>
        <v>13.4</v>
      </c>
      <c r="B79" s="170" t="str">
        <f>'1. BRIEFING'!B86</f>
        <v>INSTALAÇÃO DE PORTA ACESSÓRIOS l KIT BANHEIRO</v>
      </c>
      <c r="C79" s="163" t="str">
        <f>'1. BRIEFING'!C86</f>
        <v>UN</v>
      </c>
      <c r="D79" s="163">
        <f>'1. BRIEFING'!D86</f>
        <v>1</v>
      </c>
      <c r="E79" s="164">
        <f t="shared" si="90"/>
        <v>100</v>
      </c>
      <c r="F79" s="165">
        <v>50</v>
      </c>
      <c r="G79" s="165">
        <v>50</v>
      </c>
      <c r="H79" s="165">
        <v>0</v>
      </c>
      <c r="I79" s="166">
        <f t="shared" si="91"/>
        <v>100</v>
      </c>
      <c r="J79" s="104">
        <f t="shared" si="92"/>
        <v>50</v>
      </c>
      <c r="K79" s="104">
        <f t="shared" si="93"/>
        <v>50</v>
      </c>
      <c r="L79" s="104">
        <f t="shared" si="94"/>
        <v>0</v>
      </c>
      <c r="M79" s="104">
        <f t="shared" si="95"/>
        <v>100</v>
      </c>
      <c r="N79" s="104">
        <f t="shared" si="96"/>
        <v>133.33333333333334</v>
      </c>
      <c r="O79" s="159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4.4" hidden="1" outlineLevel="1" x14ac:dyDescent="0.3">
      <c r="A80" s="169" t="str">
        <f>'1. BRIEFING'!A87</f>
        <v>13.5</v>
      </c>
      <c r="B80" s="170" t="str">
        <f>'1. BRIEFING'!B87</f>
        <v xml:space="preserve">INSTALAÇÃO DE DUCHA HIGIÊNCIA </v>
      </c>
      <c r="C80" s="163" t="str">
        <f>'1. BRIEFING'!C87</f>
        <v>UN</v>
      </c>
      <c r="D80" s="163">
        <f>'1. BRIEFING'!D87</f>
        <v>1</v>
      </c>
      <c r="E80" s="164">
        <f t="shared" si="90"/>
        <v>100</v>
      </c>
      <c r="F80" s="165">
        <v>50</v>
      </c>
      <c r="G80" s="165">
        <v>50</v>
      </c>
      <c r="H80" s="165">
        <v>0</v>
      </c>
      <c r="I80" s="166">
        <f t="shared" si="91"/>
        <v>100</v>
      </c>
      <c r="J80" s="104">
        <f t="shared" si="92"/>
        <v>50</v>
      </c>
      <c r="K80" s="104">
        <f t="shared" si="93"/>
        <v>50</v>
      </c>
      <c r="L80" s="104">
        <f t="shared" si="94"/>
        <v>0</v>
      </c>
      <c r="M80" s="104">
        <f t="shared" si="95"/>
        <v>100</v>
      </c>
      <c r="N80" s="104">
        <f t="shared" si="96"/>
        <v>133.33333333333334</v>
      </c>
      <c r="O80" s="159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4.4" hidden="1" outlineLevel="1" x14ac:dyDescent="0.3">
      <c r="A81" s="169" t="str">
        <f>'1. BRIEFING'!A88</f>
        <v>13.6</v>
      </c>
      <c r="B81" s="170" t="str">
        <f>'1. BRIEFING'!B88</f>
        <v>INSTALAÇÃO DE CHUVEIRO</v>
      </c>
      <c r="C81" s="163" t="str">
        <f>'1. BRIEFING'!C88</f>
        <v>UN</v>
      </c>
      <c r="D81" s="163">
        <f>'1. BRIEFING'!D88</f>
        <v>1</v>
      </c>
      <c r="E81" s="164">
        <f t="shared" si="90"/>
        <v>100</v>
      </c>
      <c r="F81" s="165">
        <v>50</v>
      </c>
      <c r="G81" s="165">
        <v>50</v>
      </c>
      <c r="H81" s="165">
        <v>0</v>
      </c>
      <c r="I81" s="166">
        <f t="shared" si="91"/>
        <v>100</v>
      </c>
      <c r="J81" s="104">
        <f t="shared" si="92"/>
        <v>50</v>
      </c>
      <c r="K81" s="104">
        <f t="shared" si="93"/>
        <v>50</v>
      </c>
      <c r="L81" s="104">
        <f t="shared" si="94"/>
        <v>0</v>
      </c>
      <c r="M81" s="104">
        <f t="shared" si="95"/>
        <v>100</v>
      </c>
      <c r="N81" s="104">
        <f t="shared" si="96"/>
        <v>133.33333333333334</v>
      </c>
      <c r="O81" s="159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4.4" collapsed="1" x14ac:dyDescent="0.3">
      <c r="A82" s="151">
        <f>'1. BRIEFING'!A89</f>
        <v>14</v>
      </c>
      <c r="B82" s="152" t="str">
        <f>'1. BRIEFING'!B89</f>
        <v xml:space="preserve">SERVIÇO EM PINTURA </v>
      </c>
      <c r="C82" s="168"/>
      <c r="D82" s="154"/>
      <c r="E82" s="155"/>
      <c r="F82" s="156"/>
      <c r="G82" s="156"/>
      <c r="H82" s="156"/>
      <c r="I82" s="157"/>
      <c r="J82" s="158">
        <f t="shared" ref="J82:N82" si="97">SUM(J83:J88)</f>
        <v>1080</v>
      </c>
      <c r="K82" s="158">
        <f t="shared" si="97"/>
        <v>0</v>
      </c>
      <c r="L82" s="158">
        <f t="shared" si="97"/>
        <v>0</v>
      </c>
      <c r="M82" s="158">
        <f t="shared" si="97"/>
        <v>1080</v>
      </c>
      <c r="N82" s="158">
        <f t="shared" si="97"/>
        <v>1440.0000000000002</v>
      </c>
      <c r="O82" s="159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4.4" hidden="1" outlineLevel="1" x14ac:dyDescent="0.3">
      <c r="A83" s="160" t="str">
        <f>'1. BRIEFING'!A90</f>
        <v>14.1</v>
      </c>
      <c r="B83" s="128" t="str">
        <f>'1. BRIEFING'!B90</f>
        <v>APLICAÇÃO DE SELADOR ACRILICO PAREDE E FORRO</v>
      </c>
      <c r="C83" s="101" t="str">
        <f>'1. BRIEFING'!C90</f>
        <v>M2</v>
      </c>
      <c r="D83" s="163">
        <f>'1. BRIEFING'!D90</f>
        <v>1</v>
      </c>
      <c r="E83" s="164">
        <f t="shared" ref="E83:E88" si="98">I83</f>
        <v>180</v>
      </c>
      <c r="F83" s="165">
        <v>180</v>
      </c>
      <c r="G83" s="165">
        <v>0</v>
      </c>
      <c r="H83" s="165">
        <v>0</v>
      </c>
      <c r="I83" s="166">
        <f t="shared" ref="I83:I88" si="99">SUM(F83:H83)</f>
        <v>180</v>
      </c>
      <c r="J83" s="104">
        <f t="shared" ref="J83:J88" si="100">F83*D83</f>
        <v>180</v>
      </c>
      <c r="K83" s="104">
        <f t="shared" ref="K83:K88" si="101">G83*D83</f>
        <v>0</v>
      </c>
      <c r="L83" s="104">
        <f t="shared" ref="L83:L88" si="102">H83*D83</f>
        <v>0</v>
      </c>
      <c r="M83" s="104">
        <f t="shared" ref="M83:M88" si="103">SUM(J83:L83)</f>
        <v>180</v>
      </c>
      <c r="N83" s="104">
        <f t="shared" ref="N83:N88" si="104">M83*(1+$N$96)</f>
        <v>240.00000000000003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4.4" hidden="1" outlineLevel="1" x14ac:dyDescent="0.3">
      <c r="A84" s="160" t="str">
        <f>'1. BRIEFING'!A91</f>
        <v>14.2</v>
      </c>
      <c r="B84" s="128" t="str">
        <f>'1. BRIEFING'!B91</f>
        <v>APLICAÇÃO E LIXAMENTO DE MASSA CORRIDA EM FORRO DE GESSO</v>
      </c>
      <c r="C84" s="101" t="str">
        <f>'1. BRIEFING'!C91</f>
        <v>M2</v>
      </c>
      <c r="D84" s="163">
        <f>'1. BRIEFING'!D91</f>
        <v>1</v>
      </c>
      <c r="E84" s="164">
        <f t="shared" si="98"/>
        <v>180</v>
      </c>
      <c r="F84" s="165">
        <v>180</v>
      </c>
      <c r="G84" s="165">
        <v>0</v>
      </c>
      <c r="H84" s="165">
        <v>0</v>
      </c>
      <c r="I84" s="166">
        <f t="shared" si="99"/>
        <v>180</v>
      </c>
      <c r="J84" s="104">
        <f t="shared" si="100"/>
        <v>180</v>
      </c>
      <c r="K84" s="104">
        <f t="shared" si="101"/>
        <v>0</v>
      </c>
      <c r="L84" s="104">
        <f t="shared" si="102"/>
        <v>0</v>
      </c>
      <c r="M84" s="104">
        <f t="shared" si="103"/>
        <v>180</v>
      </c>
      <c r="N84" s="104">
        <f t="shared" si="104"/>
        <v>240.00000000000003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4.4" hidden="1" outlineLevel="1" x14ac:dyDescent="0.3">
      <c r="A85" s="160" t="str">
        <f>'1. BRIEFING'!A92</f>
        <v>14.3</v>
      </c>
      <c r="B85" s="128" t="str">
        <f>'1. BRIEFING'!B92</f>
        <v xml:space="preserve">APLICAÇÃO DE TINTA EM FORRO EM GESSO COM TINA ACRÍLLICA ACETINADO NA COR </v>
      </c>
      <c r="C85" s="101" t="str">
        <f>'1. BRIEFING'!C92</f>
        <v>M²</v>
      </c>
      <c r="D85" s="163">
        <f>'1. BRIEFING'!D92</f>
        <v>1</v>
      </c>
      <c r="E85" s="164">
        <f t="shared" si="98"/>
        <v>180</v>
      </c>
      <c r="F85" s="165">
        <v>180</v>
      </c>
      <c r="G85" s="165">
        <v>0</v>
      </c>
      <c r="H85" s="165">
        <v>0</v>
      </c>
      <c r="I85" s="166">
        <f t="shared" si="99"/>
        <v>180</v>
      </c>
      <c r="J85" s="104">
        <f t="shared" si="100"/>
        <v>180</v>
      </c>
      <c r="K85" s="104">
        <f t="shared" si="101"/>
        <v>0</v>
      </c>
      <c r="L85" s="104">
        <f t="shared" si="102"/>
        <v>0</v>
      </c>
      <c r="M85" s="104">
        <f t="shared" si="103"/>
        <v>180</v>
      </c>
      <c r="N85" s="104">
        <f t="shared" si="104"/>
        <v>240.00000000000003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4.4" hidden="1" outlineLevel="1" x14ac:dyDescent="0.3">
      <c r="A86" s="160" t="str">
        <f>'1. BRIEFING'!A93</f>
        <v>14.4</v>
      </c>
      <c r="B86" s="128" t="str">
        <f>'1. BRIEFING'!B93</f>
        <v xml:space="preserve">APLICAÇÃO E LIXAMENTO DE MASSA CORRIDA EM PAREDE </v>
      </c>
      <c r="C86" s="101" t="str">
        <f>'1. BRIEFING'!C93</f>
        <v>M²</v>
      </c>
      <c r="D86" s="163">
        <f>'1. BRIEFING'!D93</f>
        <v>1</v>
      </c>
      <c r="E86" s="164">
        <f t="shared" si="98"/>
        <v>180</v>
      </c>
      <c r="F86" s="165">
        <v>180</v>
      </c>
      <c r="G86" s="165">
        <v>0</v>
      </c>
      <c r="H86" s="165">
        <v>0</v>
      </c>
      <c r="I86" s="166">
        <f t="shared" si="99"/>
        <v>180</v>
      </c>
      <c r="J86" s="104">
        <f t="shared" si="100"/>
        <v>180</v>
      </c>
      <c r="K86" s="104">
        <f t="shared" si="101"/>
        <v>0</v>
      </c>
      <c r="L86" s="104">
        <f t="shared" si="102"/>
        <v>0</v>
      </c>
      <c r="M86" s="104">
        <f t="shared" si="103"/>
        <v>180</v>
      </c>
      <c r="N86" s="104">
        <f t="shared" si="104"/>
        <v>240.00000000000003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4.4" hidden="1" outlineLevel="1" x14ac:dyDescent="0.3">
      <c r="A87" s="160" t="str">
        <f>'1. BRIEFING'!A94</f>
        <v>14.5</v>
      </c>
      <c r="B87" s="128" t="str">
        <f>'1. BRIEFING'!B94</f>
        <v xml:space="preserve">APLICAÇÃO DE TINTA ACRÍLICA EM PAREDE , ACETINADO  COR </v>
      </c>
      <c r="C87" s="101" t="str">
        <f>'1. BRIEFING'!C94</f>
        <v>M²</v>
      </c>
      <c r="D87" s="163">
        <f>'1. BRIEFING'!D94</f>
        <v>1</v>
      </c>
      <c r="E87" s="164">
        <f t="shared" si="98"/>
        <v>180</v>
      </c>
      <c r="F87" s="165">
        <v>180</v>
      </c>
      <c r="G87" s="165">
        <v>0</v>
      </c>
      <c r="H87" s="165">
        <v>0</v>
      </c>
      <c r="I87" s="166">
        <f t="shared" si="99"/>
        <v>180</v>
      </c>
      <c r="J87" s="104">
        <f t="shared" si="100"/>
        <v>180</v>
      </c>
      <c r="K87" s="104">
        <f t="shared" si="101"/>
        <v>0</v>
      </c>
      <c r="L87" s="104">
        <f t="shared" si="102"/>
        <v>0</v>
      </c>
      <c r="M87" s="104">
        <f t="shared" si="103"/>
        <v>180</v>
      </c>
      <c r="N87" s="104">
        <f t="shared" si="104"/>
        <v>240.00000000000003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4.4" hidden="1" outlineLevel="1" x14ac:dyDescent="0.3">
      <c r="A88" s="160" t="str">
        <f>'1. BRIEFING'!A95</f>
        <v>14.6</v>
      </c>
      <c r="B88" s="128" t="str">
        <f>'1. BRIEFING'!B95</f>
        <v>APLICAÇÃO DE FUNDO, MASSA E TINTA EM PORTA DE MADEIRA, ACETINADO NA COR</v>
      </c>
      <c r="C88" s="101" t="str">
        <f>'1. BRIEFING'!C95</f>
        <v>UND</v>
      </c>
      <c r="D88" s="163">
        <f>'1. BRIEFING'!D95</f>
        <v>1</v>
      </c>
      <c r="E88" s="164">
        <f t="shared" si="98"/>
        <v>180</v>
      </c>
      <c r="F88" s="165">
        <v>180</v>
      </c>
      <c r="G88" s="165">
        <v>0</v>
      </c>
      <c r="H88" s="165">
        <v>0</v>
      </c>
      <c r="I88" s="166">
        <f t="shared" si="99"/>
        <v>180</v>
      </c>
      <c r="J88" s="104">
        <f t="shared" si="100"/>
        <v>180</v>
      </c>
      <c r="K88" s="104">
        <f t="shared" si="101"/>
        <v>0</v>
      </c>
      <c r="L88" s="104">
        <f t="shared" si="102"/>
        <v>0</v>
      </c>
      <c r="M88" s="104">
        <f t="shared" si="103"/>
        <v>180</v>
      </c>
      <c r="N88" s="104">
        <f t="shared" si="104"/>
        <v>240.00000000000003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4.4" collapsed="1" x14ac:dyDescent="0.3">
      <c r="A89" s="151">
        <f>'1. BRIEFING'!A96</f>
        <v>15</v>
      </c>
      <c r="B89" s="152" t="str">
        <f>'1. BRIEFING'!B96</f>
        <v xml:space="preserve">LIMPEZA FINAL </v>
      </c>
      <c r="C89" s="168"/>
      <c r="D89" s="154"/>
      <c r="E89" s="155"/>
      <c r="F89" s="156"/>
      <c r="G89" s="156"/>
      <c r="H89" s="156"/>
      <c r="I89" s="157"/>
      <c r="J89" s="158">
        <f t="shared" ref="J89:N89" si="105">SUM(J90:J91)</f>
        <v>180</v>
      </c>
      <c r="K89" s="158">
        <f t="shared" si="105"/>
        <v>0</v>
      </c>
      <c r="L89" s="158">
        <f t="shared" si="105"/>
        <v>400</v>
      </c>
      <c r="M89" s="158">
        <f t="shared" si="105"/>
        <v>580</v>
      </c>
      <c r="N89" s="158">
        <f t="shared" si="105"/>
        <v>773.33333333333337</v>
      </c>
      <c r="O89" s="159">
        <f>N89/$N$92</f>
        <v>2.0082935598873135E-2</v>
      </c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4.4" hidden="1" outlineLevel="1" x14ac:dyDescent="0.3">
      <c r="A90" s="160" t="str">
        <f>'1. BRIEFING'!A97</f>
        <v>15.1</v>
      </c>
      <c r="B90" s="167" t="str">
        <f>'1. BRIEFING'!B97</f>
        <v>LIMPEZA FINAL DA OBRA</v>
      </c>
      <c r="C90" s="162" t="str">
        <f>'1. BRIEFING'!C97</f>
        <v>VB</v>
      </c>
      <c r="D90" s="163">
        <f>'1. BRIEFING'!D97</f>
        <v>1</v>
      </c>
      <c r="E90" s="164">
        <f t="shared" ref="E90:E91" si="106">I90</f>
        <v>180</v>
      </c>
      <c r="F90" s="165">
        <v>180</v>
      </c>
      <c r="G90" s="165">
        <v>0</v>
      </c>
      <c r="H90" s="165">
        <v>0</v>
      </c>
      <c r="I90" s="166">
        <f t="shared" ref="I90:I91" si="107">SUM(F90:H90)</f>
        <v>180</v>
      </c>
      <c r="J90" s="104">
        <f t="shared" ref="J90:J91" si="108">F90*D90</f>
        <v>180</v>
      </c>
      <c r="K90" s="104">
        <f t="shared" ref="K90:K91" si="109">G90*D90</f>
        <v>0</v>
      </c>
      <c r="L90" s="104">
        <f t="shared" ref="L90:L91" si="110">H90*D90</f>
        <v>0</v>
      </c>
      <c r="M90" s="104">
        <f t="shared" ref="M90:M91" si="111">SUM(J90:L90)</f>
        <v>180</v>
      </c>
      <c r="N90" s="104">
        <f t="shared" ref="N90:N91" si="112">M90*(1+$N$96)</f>
        <v>240.00000000000003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4.4" hidden="1" outlineLevel="1" x14ac:dyDescent="0.3">
      <c r="A91" s="160" t="str">
        <f>'1. BRIEFING'!A98</f>
        <v>15.3</v>
      </c>
      <c r="B91" s="167" t="str">
        <f>'1. BRIEFING'!B98</f>
        <v>REMOÇÃO DE ENTULHOS GERADOS PELA OBRA POR CARRO PEQUENOS</v>
      </c>
      <c r="C91" s="162" t="str">
        <f>'1. BRIEFING'!C98</f>
        <v>UN</v>
      </c>
      <c r="D91" s="163">
        <f>'1. BRIEFING'!D98</f>
        <v>1</v>
      </c>
      <c r="E91" s="164">
        <f t="shared" si="106"/>
        <v>400</v>
      </c>
      <c r="F91" s="171">
        <v>0</v>
      </c>
      <c r="G91" s="171">
        <v>0</v>
      </c>
      <c r="H91" s="171">
        <v>400</v>
      </c>
      <c r="I91" s="172">
        <f t="shared" si="107"/>
        <v>400</v>
      </c>
      <c r="J91" s="104">
        <f t="shared" si="108"/>
        <v>0</v>
      </c>
      <c r="K91" s="104">
        <f t="shared" si="109"/>
        <v>0</v>
      </c>
      <c r="L91" s="104">
        <f t="shared" si="110"/>
        <v>400</v>
      </c>
      <c r="M91" s="104">
        <f t="shared" si="111"/>
        <v>400</v>
      </c>
      <c r="N91" s="104">
        <f t="shared" si="112"/>
        <v>533.33333333333337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2" x14ac:dyDescent="0.25">
      <c r="A92" s="173"/>
      <c r="B92" s="1"/>
      <c r="C92" s="2"/>
      <c r="D92" s="2"/>
      <c r="E92" s="1"/>
      <c r="F92" s="1"/>
      <c r="G92" s="1"/>
      <c r="H92" s="1"/>
      <c r="I92" s="1" t="s">
        <v>396</v>
      </c>
      <c r="J92" s="80">
        <f t="shared" ref="J92:N92" si="113">SUM(J89,J82,J75,J68,J64,J59,J52,J47,J42,J38,J32,J26,J24,J14,J8)</f>
        <v>4095</v>
      </c>
      <c r="K92" s="80">
        <f t="shared" si="113"/>
        <v>1110.24</v>
      </c>
      <c r="L92" s="80">
        <f t="shared" si="113"/>
        <v>23675</v>
      </c>
      <c r="M92" s="80">
        <f t="shared" si="113"/>
        <v>28880.240000000002</v>
      </c>
      <c r="N92" s="80">
        <f t="shared" si="113"/>
        <v>38506.986666666679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2" x14ac:dyDescent="0.25">
      <c r="A93" s="173"/>
      <c r="B93" s="1"/>
      <c r="C93" s="2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2" x14ac:dyDescent="0.25">
      <c r="A94" s="173"/>
      <c r="B94" s="1"/>
      <c r="C94" s="2"/>
      <c r="D94" s="2" t="s">
        <v>397</v>
      </c>
      <c r="E94" s="1"/>
      <c r="F94" s="1"/>
      <c r="G94" s="1"/>
      <c r="H94" s="80"/>
      <c r="I94" s="1"/>
      <c r="J94" s="1"/>
      <c r="K94" s="1"/>
      <c r="L94" s="173" t="s">
        <v>398</v>
      </c>
      <c r="M94" s="80">
        <f t="shared" ref="M94:N94" si="114">M92</f>
        <v>28880.240000000002</v>
      </c>
      <c r="N94" s="80">
        <f t="shared" si="114"/>
        <v>38506.986666666679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2" x14ac:dyDescent="0.25">
      <c r="A95" s="173"/>
      <c r="B95" s="1"/>
      <c r="C95" s="2"/>
      <c r="D95" s="2"/>
      <c r="E95" s="1"/>
      <c r="F95" s="1"/>
      <c r="G95" s="1"/>
      <c r="H95" s="80"/>
      <c r="I95" s="1"/>
      <c r="J95" s="1"/>
      <c r="K95" s="1"/>
      <c r="L95" s="1"/>
      <c r="M95" s="80"/>
      <c r="N95" s="80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2" x14ac:dyDescent="0.25">
      <c r="A96" s="173"/>
      <c r="B96" s="1"/>
      <c r="C96" s="2"/>
      <c r="D96" s="2"/>
      <c r="E96" s="1"/>
      <c r="F96" s="174"/>
      <c r="G96" s="174"/>
      <c r="H96" s="174"/>
      <c r="I96" s="174"/>
      <c r="J96" s="1"/>
      <c r="K96" s="1"/>
      <c r="L96" s="1"/>
      <c r="M96" s="173" t="s">
        <v>399</v>
      </c>
      <c r="N96" s="175">
        <f>'0. P. VENDA'!C28</f>
        <v>0.33333333333333348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2" x14ac:dyDescent="0.25">
      <c r="A97" s="173"/>
      <c r="B97" s="1"/>
      <c r="C97" s="2"/>
      <c r="D97" s="2"/>
      <c r="E97" s="1"/>
      <c r="F97" s="1"/>
      <c r="G97" s="1"/>
      <c r="H97" s="80"/>
      <c r="I97" s="1"/>
      <c r="J97" s="1"/>
      <c r="K97" s="1"/>
      <c r="L97" s="1"/>
      <c r="M97" s="80"/>
      <c r="N97" s="80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2" x14ac:dyDescent="0.25">
      <c r="A98" s="173"/>
      <c r="B98" s="1"/>
      <c r="C98" s="2"/>
      <c r="D98" s="2"/>
      <c r="E98" s="1"/>
      <c r="F98" s="1"/>
      <c r="G98" s="1"/>
      <c r="H98" s="80"/>
      <c r="I98" s="1"/>
      <c r="J98" s="1"/>
      <c r="K98" s="1"/>
      <c r="L98" s="1"/>
      <c r="M98" s="176" t="s">
        <v>400</v>
      </c>
      <c r="N98" s="177">
        <v>0.02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2" x14ac:dyDescent="0.25">
      <c r="A99" s="173"/>
      <c r="B99" s="1"/>
      <c r="C99" s="2"/>
      <c r="D99" s="2"/>
      <c r="E99" s="1"/>
      <c r="F99" s="1"/>
      <c r="G99" s="1"/>
      <c r="H99" s="80"/>
      <c r="I99" s="1"/>
      <c r="J99" s="1"/>
      <c r="K99" s="1"/>
      <c r="L99" s="1"/>
      <c r="M99" s="178" t="s">
        <v>401</v>
      </c>
      <c r="N99" s="177">
        <v>0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2" x14ac:dyDescent="0.25">
      <c r="A100" s="173"/>
      <c r="B100" s="1"/>
      <c r="C100" s="2"/>
      <c r="D100" s="2"/>
      <c r="E100" s="1"/>
      <c r="F100" s="1"/>
      <c r="G100" s="1"/>
      <c r="H100" s="1"/>
      <c r="I100" s="1"/>
      <c r="J100" s="1"/>
      <c r="K100" s="1"/>
      <c r="L100" s="1"/>
      <c r="M100" s="176" t="s">
        <v>402</v>
      </c>
      <c r="N100" s="177">
        <v>0.01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2" x14ac:dyDescent="0.25">
      <c r="A101" s="173"/>
      <c r="B101" s="1"/>
      <c r="C101" s="2"/>
      <c r="D101" s="2"/>
      <c r="E101" s="1"/>
      <c r="F101" s="1"/>
      <c r="G101" s="1"/>
      <c r="H101" s="1"/>
      <c r="I101" s="1"/>
      <c r="J101" s="1"/>
      <c r="K101" s="1"/>
      <c r="L101" s="1"/>
      <c r="M101" s="176" t="s">
        <v>403</v>
      </c>
      <c r="N101" s="177">
        <v>7.0000000000000007E-2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2" x14ac:dyDescent="0.25">
      <c r="A102" s="173"/>
      <c r="B102" s="1"/>
      <c r="C102" s="2"/>
      <c r="D102" s="2"/>
      <c r="E102" s="1"/>
      <c r="F102" s="1"/>
      <c r="G102" s="1"/>
      <c r="H102" s="1"/>
      <c r="I102" s="1"/>
      <c r="J102" s="1"/>
      <c r="K102" s="1"/>
      <c r="L102" s="1"/>
      <c r="M102" s="176" t="s">
        <v>404</v>
      </c>
      <c r="N102" s="177">
        <v>0.15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2" x14ac:dyDescent="0.25">
      <c r="A103" s="173"/>
      <c r="B103" s="1"/>
      <c r="C103" s="2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2" x14ac:dyDescent="0.25">
      <c r="A104" s="173"/>
      <c r="B104" s="1"/>
      <c r="C104" s="2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2" x14ac:dyDescent="0.25">
      <c r="A105" s="173"/>
      <c r="B105" s="1"/>
      <c r="C105" s="2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2" x14ac:dyDescent="0.25">
      <c r="A106" s="173"/>
      <c r="B106" s="1"/>
      <c r="C106" s="2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2" x14ac:dyDescent="0.25">
      <c r="A107" s="173"/>
      <c r="B107" s="1"/>
      <c r="C107" s="2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2" x14ac:dyDescent="0.25">
      <c r="A108" s="173"/>
      <c r="B108" s="1"/>
      <c r="C108" s="2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2" x14ac:dyDescent="0.25">
      <c r="A109" s="173"/>
      <c r="B109" s="1"/>
      <c r="C109" s="2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2" x14ac:dyDescent="0.25">
      <c r="A110" s="173"/>
      <c r="B110" s="1"/>
      <c r="C110" s="2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2" x14ac:dyDescent="0.25">
      <c r="A111" s="173"/>
      <c r="B111" s="1"/>
      <c r="C111" s="2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2" x14ac:dyDescent="0.25">
      <c r="A112" s="173"/>
      <c r="B112" s="1"/>
      <c r="C112" s="2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2" x14ac:dyDescent="0.25">
      <c r="A113" s="173"/>
      <c r="B113" s="1"/>
      <c r="C113" s="2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2" x14ac:dyDescent="0.25">
      <c r="A114" s="173"/>
      <c r="B114" s="1"/>
      <c r="C114" s="2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2" x14ac:dyDescent="0.25">
      <c r="A115" s="173"/>
      <c r="B115" s="1"/>
      <c r="C115" s="2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2" x14ac:dyDescent="0.25">
      <c r="A116" s="173"/>
      <c r="B116" s="1"/>
      <c r="C116" s="2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2" x14ac:dyDescent="0.25">
      <c r="A117" s="173"/>
      <c r="B117" s="1"/>
      <c r="C117" s="2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2" x14ac:dyDescent="0.25">
      <c r="A118" s="173"/>
      <c r="B118" s="1"/>
      <c r="C118" s="2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2" x14ac:dyDescent="0.25">
      <c r="A119" s="173"/>
      <c r="B119" s="1"/>
      <c r="C119" s="2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2" x14ac:dyDescent="0.25">
      <c r="A120" s="173"/>
      <c r="B120" s="1"/>
      <c r="C120" s="2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2" x14ac:dyDescent="0.25">
      <c r="A121" s="173"/>
      <c r="B121" s="1"/>
      <c r="C121" s="2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2" x14ac:dyDescent="0.25">
      <c r="A122" s="173"/>
      <c r="B122" s="1"/>
      <c r="C122" s="2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2" x14ac:dyDescent="0.25">
      <c r="A123" s="173"/>
      <c r="B123" s="1"/>
      <c r="C123" s="2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2" x14ac:dyDescent="0.25">
      <c r="A124" s="173"/>
      <c r="B124" s="1"/>
      <c r="C124" s="2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2" x14ac:dyDescent="0.25">
      <c r="A125" s="173"/>
      <c r="B125" s="1"/>
      <c r="C125" s="2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2" x14ac:dyDescent="0.25">
      <c r="A126" s="173"/>
      <c r="B126" s="1"/>
      <c r="C126" s="2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2" x14ac:dyDescent="0.25">
      <c r="A127" s="173"/>
      <c r="B127" s="1"/>
      <c r="C127" s="2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2" x14ac:dyDescent="0.25">
      <c r="A128" s="173"/>
      <c r="B128" s="1"/>
      <c r="C128" s="2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2" x14ac:dyDescent="0.25">
      <c r="A129" s="173"/>
      <c r="B129" s="1"/>
      <c r="C129" s="2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2" x14ac:dyDescent="0.25">
      <c r="A130" s="173"/>
      <c r="B130" s="1"/>
      <c r="C130" s="2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2" x14ac:dyDescent="0.25">
      <c r="A131" s="173"/>
      <c r="B131" s="1"/>
      <c r="C131" s="2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2" x14ac:dyDescent="0.25">
      <c r="A132" s="173"/>
      <c r="B132" s="1"/>
      <c r="C132" s="2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2" x14ac:dyDescent="0.25">
      <c r="A133" s="173"/>
      <c r="B133" s="1"/>
      <c r="C133" s="2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2" x14ac:dyDescent="0.25">
      <c r="A134" s="173"/>
      <c r="B134" s="1"/>
      <c r="C134" s="2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2" x14ac:dyDescent="0.25">
      <c r="A135" s="173"/>
      <c r="B135" s="1"/>
      <c r="C135" s="2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2" x14ac:dyDescent="0.25">
      <c r="A136" s="173"/>
      <c r="B136" s="1"/>
      <c r="C136" s="2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2" x14ac:dyDescent="0.25">
      <c r="A137" s="173"/>
      <c r="B137" s="1"/>
      <c r="C137" s="2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2" x14ac:dyDescent="0.25">
      <c r="A138" s="173"/>
      <c r="B138" s="1"/>
      <c r="C138" s="2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2" x14ac:dyDescent="0.25">
      <c r="A139" s="173"/>
      <c r="B139" s="1"/>
      <c r="C139" s="2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2" x14ac:dyDescent="0.25">
      <c r="A140" s="173"/>
      <c r="B140" s="1"/>
      <c r="C140" s="2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2" x14ac:dyDescent="0.25">
      <c r="A141" s="173"/>
      <c r="B141" s="1"/>
      <c r="C141" s="2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2" x14ac:dyDescent="0.25">
      <c r="A142" s="173"/>
      <c r="B142" s="1"/>
      <c r="C142" s="2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2" x14ac:dyDescent="0.25">
      <c r="A143" s="173"/>
      <c r="B143" s="1"/>
      <c r="C143" s="2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2" x14ac:dyDescent="0.25">
      <c r="A144" s="173"/>
      <c r="B144" s="1"/>
      <c r="C144" s="2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2" x14ac:dyDescent="0.25">
      <c r="A145" s="173"/>
      <c r="B145" s="1"/>
      <c r="C145" s="2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2" x14ac:dyDescent="0.25">
      <c r="A146" s="173"/>
      <c r="B146" s="1"/>
      <c r="C146" s="2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2" x14ac:dyDescent="0.25">
      <c r="A147" s="173"/>
      <c r="B147" s="1"/>
      <c r="C147" s="2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2" x14ac:dyDescent="0.25">
      <c r="A148" s="173"/>
      <c r="B148" s="1"/>
      <c r="C148" s="2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2" x14ac:dyDescent="0.25">
      <c r="A149" s="173"/>
      <c r="B149" s="1"/>
      <c r="C149" s="2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2" x14ac:dyDescent="0.25">
      <c r="A150" s="173"/>
      <c r="B150" s="1"/>
      <c r="C150" s="2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2" x14ac:dyDescent="0.25">
      <c r="A151" s="173"/>
      <c r="B151" s="1"/>
      <c r="C151" s="2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2" x14ac:dyDescent="0.25">
      <c r="A152" s="173"/>
      <c r="B152" s="1"/>
      <c r="C152" s="2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2" x14ac:dyDescent="0.25">
      <c r="A153" s="173"/>
      <c r="B153" s="1"/>
      <c r="C153" s="2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2" x14ac:dyDescent="0.25">
      <c r="A154" s="173"/>
      <c r="B154" s="1"/>
      <c r="C154" s="2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2" x14ac:dyDescent="0.25">
      <c r="A155" s="173"/>
      <c r="B155" s="1"/>
      <c r="C155" s="2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2" x14ac:dyDescent="0.25">
      <c r="A156" s="173"/>
      <c r="B156" s="1"/>
      <c r="C156" s="2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2" x14ac:dyDescent="0.25">
      <c r="A157" s="173"/>
      <c r="B157" s="1"/>
      <c r="C157" s="2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2" x14ac:dyDescent="0.25">
      <c r="A158" s="173"/>
      <c r="B158" s="1"/>
      <c r="C158" s="2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2" x14ac:dyDescent="0.25">
      <c r="A159" s="173"/>
      <c r="B159" s="1"/>
      <c r="C159" s="2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2" x14ac:dyDescent="0.25">
      <c r="A160" s="173"/>
      <c r="B160" s="1"/>
      <c r="C160" s="2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2" x14ac:dyDescent="0.25">
      <c r="A161" s="173"/>
      <c r="B161" s="1"/>
      <c r="C161" s="2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2" x14ac:dyDescent="0.25">
      <c r="A162" s="173"/>
      <c r="B162" s="1"/>
      <c r="C162" s="2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2" x14ac:dyDescent="0.25">
      <c r="A163" s="173"/>
      <c r="B163" s="1"/>
      <c r="C163" s="2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2" x14ac:dyDescent="0.25">
      <c r="A164" s="173"/>
      <c r="B164" s="1"/>
      <c r="C164" s="2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2" x14ac:dyDescent="0.25">
      <c r="A165" s="173"/>
      <c r="B165" s="1"/>
      <c r="C165" s="2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2" x14ac:dyDescent="0.25">
      <c r="A166" s="173"/>
      <c r="B166" s="1"/>
      <c r="C166" s="2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2" x14ac:dyDescent="0.25">
      <c r="A167" s="173"/>
      <c r="B167" s="1"/>
      <c r="C167" s="2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2" x14ac:dyDescent="0.25">
      <c r="A168" s="173"/>
      <c r="B168" s="1"/>
      <c r="C168" s="2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2" x14ac:dyDescent="0.25">
      <c r="A169" s="173"/>
      <c r="B169" s="1"/>
      <c r="C169" s="2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2" x14ac:dyDescent="0.25">
      <c r="A170" s="173"/>
      <c r="B170" s="1"/>
      <c r="C170" s="2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2" x14ac:dyDescent="0.25">
      <c r="A171" s="173"/>
      <c r="B171" s="1"/>
      <c r="C171" s="2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2" x14ac:dyDescent="0.25">
      <c r="A172" s="173"/>
      <c r="B172" s="1"/>
      <c r="C172" s="2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2" x14ac:dyDescent="0.25">
      <c r="A173" s="173"/>
      <c r="B173" s="1"/>
      <c r="C173" s="2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2" x14ac:dyDescent="0.25">
      <c r="A174" s="173"/>
      <c r="B174" s="1"/>
      <c r="C174" s="2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2" x14ac:dyDescent="0.25">
      <c r="A175" s="173"/>
      <c r="B175" s="1"/>
      <c r="C175" s="2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2" x14ac:dyDescent="0.25">
      <c r="A176" s="173"/>
      <c r="B176" s="1"/>
      <c r="C176" s="2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2" x14ac:dyDescent="0.25">
      <c r="A177" s="173"/>
      <c r="B177" s="1"/>
      <c r="C177" s="2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2" x14ac:dyDescent="0.25">
      <c r="A178" s="173"/>
      <c r="B178" s="1"/>
      <c r="C178" s="2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2" x14ac:dyDescent="0.25">
      <c r="A179" s="173"/>
      <c r="B179" s="1"/>
      <c r="C179" s="2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2" x14ac:dyDescent="0.25">
      <c r="A180" s="173"/>
      <c r="B180" s="1"/>
      <c r="C180" s="2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2" x14ac:dyDescent="0.25">
      <c r="A181" s="173"/>
      <c r="B181" s="1"/>
      <c r="C181" s="2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2" x14ac:dyDescent="0.25">
      <c r="A182" s="173"/>
      <c r="B182" s="1"/>
      <c r="C182" s="2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2" x14ac:dyDescent="0.25">
      <c r="A183" s="173"/>
      <c r="B183" s="1"/>
      <c r="C183" s="2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2" x14ac:dyDescent="0.25">
      <c r="A184" s="173"/>
      <c r="B184" s="1"/>
      <c r="C184" s="2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2" x14ac:dyDescent="0.25">
      <c r="A185" s="173"/>
      <c r="B185" s="1"/>
      <c r="C185" s="2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2" x14ac:dyDescent="0.25">
      <c r="A186" s="173"/>
      <c r="B186" s="1"/>
      <c r="C186" s="2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2" x14ac:dyDescent="0.25">
      <c r="A187" s="173"/>
      <c r="B187" s="1"/>
      <c r="C187" s="2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2" x14ac:dyDescent="0.25">
      <c r="A188" s="173"/>
      <c r="B188" s="1"/>
      <c r="C188" s="2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2" x14ac:dyDescent="0.25">
      <c r="A189" s="173"/>
      <c r="B189" s="1"/>
      <c r="C189" s="2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2" x14ac:dyDescent="0.25">
      <c r="A190" s="173"/>
      <c r="B190" s="1"/>
      <c r="C190" s="2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2" x14ac:dyDescent="0.25">
      <c r="A191" s="173"/>
      <c r="B191" s="1"/>
      <c r="C191" s="2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2" x14ac:dyDescent="0.25">
      <c r="A192" s="173"/>
      <c r="B192" s="1"/>
      <c r="C192" s="2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2" x14ac:dyDescent="0.25">
      <c r="A193" s="173"/>
      <c r="B193" s="1"/>
      <c r="C193" s="2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2" x14ac:dyDescent="0.25">
      <c r="A194" s="173"/>
      <c r="B194" s="1"/>
      <c r="C194" s="2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2" x14ac:dyDescent="0.25">
      <c r="A195" s="173"/>
      <c r="B195" s="1"/>
      <c r="C195" s="2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2" x14ac:dyDescent="0.25">
      <c r="A196" s="173"/>
      <c r="B196" s="1"/>
      <c r="C196" s="2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2" x14ac:dyDescent="0.25">
      <c r="A197" s="173"/>
      <c r="B197" s="1"/>
      <c r="C197" s="2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2" x14ac:dyDescent="0.25">
      <c r="A198" s="173"/>
      <c r="B198" s="1"/>
      <c r="C198" s="2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2" x14ac:dyDescent="0.25">
      <c r="A199" s="173"/>
      <c r="B199" s="1"/>
      <c r="C199" s="2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2" x14ac:dyDescent="0.25">
      <c r="A200" s="173"/>
      <c r="B200" s="1"/>
      <c r="C200" s="2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2" x14ac:dyDescent="0.25">
      <c r="A201" s="173"/>
      <c r="B201" s="1"/>
      <c r="C201" s="2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2" x14ac:dyDescent="0.25">
      <c r="A202" s="173"/>
      <c r="B202" s="1"/>
      <c r="C202" s="2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2" x14ac:dyDescent="0.25">
      <c r="A203" s="173"/>
      <c r="B203" s="1"/>
      <c r="C203" s="2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2" x14ac:dyDescent="0.25">
      <c r="A204" s="173"/>
      <c r="B204" s="1"/>
      <c r="C204" s="2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2" x14ac:dyDescent="0.25">
      <c r="A205" s="173"/>
      <c r="B205" s="1"/>
      <c r="C205" s="2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2" x14ac:dyDescent="0.25">
      <c r="A206" s="173"/>
      <c r="B206" s="1"/>
      <c r="C206" s="2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2" x14ac:dyDescent="0.25">
      <c r="A207" s="173"/>
      <c r="B207" s="1"/>
      <c r="C207" s="2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2" x14ac:dyDescent="0.25">
      <c r="A208" s="173"/>
      <c r="B208" s="1"/>
      <c r="C208" s="2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2" x14ac:dyDescent="0.25">
      <c r="A209" s="173"/>
      <c r="B209" s="1"/>
      <c r="C209" s="2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2" x14ac:dyDescent="0.25">
      <c r="A210" s="173"/>
      <c r="B210" s="1"/>
      <c r="C210" s="2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2" x14ac:dyDescent="0.25">
      <c r="A211" s="173"/>
      <c r="B211" s="1"/>
      <c r="C211" s="2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2" x14ac:dyDescent="0.25">
      <c r="A212" s="173"/>
      <c r="B212" s="1"/>
      <c r="C212" s="2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2" x14ac:dyDescent="0.25">
      <c r="A213" s="173"/>
      <c r="B213" s="1"/>
      <c r="C213" s="2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2" x14ac:dyDescent="0.25">
      <c r="A214" s="173"/>
      <c r="B214" s="1"/>
      <c r="C214" s="2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2" x14ac:dyDescent="0.25">
      <c r="A215" s="173"/>
      <c r="B215" s="1"/>
      <c r="C215" s="2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2" x14ac:dyDescent="0.25">
      <c r="A216" s="173"/>
      <c r="B216" s="1"/>
      <c r="C216" s="2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2" x14ac:dyDescent="0.25">
      <c r="A217" s="173"/>
      <c r="B217" s="1"/>
      <c r="C217" s="2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2" x14ac:dyDescent="0.25">
      <c r="A218" s="173"/>
      <c r="B218" s="1"/>
      <c r="C218" s="2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2" x14ac:dyDescent="0.25">
      <c r="A219" s="173"/>
      <c r="B219" s="1"/>
      <c r="C219" s="2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2" x14ac:dyDescent="0.25">
      <c r="A220" s="173"/>
      <c r="B220" s="1"/>
      <c r="C220" s="2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2" x14ac:dyDescent="0.25">
      <c r="A221" s="173"/>
      <c r="B221" s="1"/>
      <c r="C221" s="2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2" x14ac:dyDescent="0.25">
      <c r="A222" s="173"/>
      <c r="B222" s="1"/>
      <c r="C222" s="2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2" x14ac:dyDescent="0.25">
      <c r="A223" s="173"/>
      <c r="B223" s="1"/>
      <c r="C223" s="2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2" x14ac:dyDescent="0.25">
      <c r="A224" s="173"/>
      <c r="B224" s="1"/>
      <c r="C224" s="2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2" x14ac:dyDescent="0.25">
      <c r="A225" s="173"/>
      <c r="B225" s="1"/>
      <c r="C225" s="2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2" x14ac:dyDescent="0.25">
      <c r="A226" s="173"/>
      <c r="B226" s="1"/>
      <c r="C226" s="2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2" x14ac:dyDescent="0.25">
      <c r="A227" s="173"/>
      <c r="B227" s="1"/>
      <c r="C227" s="2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2" x14ac:dyDescent="0.25">
      <c r="A228" s="173"/>
      <c r="B228" s="1"/>
      <c r="C228" s="2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2" x14ac:dyDescent="0.25">
      <c r="A229" s="173"/>
      <c r="B229" s="1"/>
      <c r="C229" s="2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2" x14ac:dyDescent="0.25">
      <c r="A230" s="173"/>
      <c r="B230" s="1"/>
      <c r="C230" s="2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2" x14ac:dyDescent="0.25">
      <c r="A231" s="173"/>
      <c r="B231" s="1"/>
      <c r="C231" s="2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2" x14ac:dyDescent="0.25">
      <c r="A232" s="173"/>
      <c r="B232" s="1"/>
      <c r="C232" s="2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2" x14ac:dyDescent="0.25">
      <c r="A233" s="173"/>
      <c r="B233" s="1"/>
      <c r="C233" s="2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2" x14ac:dyDescent="0.25">
      <c r="A234" s="173"/>
      <c r="B234" s="1"/>
      <c r="C234" s="2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2" x14ac:dyDescent="0.25">
      <c r="A235" s="173"/>
      <c r="B235" s="1"/>
      <c r="C235" s="2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2" x14ac:dyDescent="0.25">
      <c r="A236" s="173"/>
      <c r="B236" s="1"/>
      <c r="C236" s="2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2" x14ac:dyDescent="0.25">
      <c r="A237" s="173"/>
      <c r="B237" s="1"/>
      <c r="C237" s="2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2" x14ac:dyDescent="0.25">
      <c r="A238" s="173"/>
      <c r="B238" s="1"/>
      <c r="C238" s="2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2" x14ac:dyDescent="0.25">
      <c r="A239" s="173"/>
      <c r="B239" s="1"/>
      <c r="C239" s="2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2" x14ac:dyDescent="0.25">
      <c r="A240" s="173"/>
      <c r="B240" s="1"/>
      <c r="C240" s="2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2" x14ac:dyDescent="0.25">
      <c r="A241" s="173"/>
      <c r="B241" s="1"/>
      <c r="C241" s="2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2" x14ac:dyDescent="0.25">
      <c r="A242" s="173"/>
      <c r="B242" s="1"/>
      <c r="C242" s="2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2" x14ac:dyDescent="0.25">
      <c r="A243" s="173"/>
      <c r="B243" s="1"/>
      <c r="C243" s="2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2" x14ac:dyDescent="0.25">
      <c r="A244" s="173"/>
      <c r="B244" s="1"/>
      <c r="C244" s="2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2" x14ac:dyDescent="0.25">
      <c r="A245" s="173"/>
      <c r="B245" s="1"/>
      <c r="C245" s="2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2" x14ac:dyDescent="0.25">
      <c r="A246" s="173"/>
      <c r="B246" s="1"/>
      <c r="C246" s="2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2" x14ac:dyDescent="0.25">
      <c r="A247" s="173"/>
      <c r="B247" s="1"/>
      <c r="C247" s="2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2" x14ac:dyDescent="0.25">
      <c r="A248" s="173"/>
      <c r="B248" s="1"/>
      <c r="C248" s="2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2" x14ac:dyDescent="0.25">
      <c r="A249" s="173"/>
      <c r="B249" s="1"/>
      <c r="C249" s="2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2" x14ac:dyDescent="0.25">
      <c r="A250" s="173"/>
      <c r="B250" s="1"/>
      <c r="C250" s="2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2" x14ac:dyDescent="0.25">
      <c r="A251" s="173"/>
      <c r="B251" s="1"/>
      <c r="C251" s="2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2" x14ac:dyDescent="0.25">
      <c r="A252" s="173"/>
      <c r="B252" s="1"/>
      <c r="C252" s="2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2" x14ac:dyDescent="0.25">
      <c r="A253" s="173"/>
      <c r="B253" s="1"/>
      <c r="C253" s="2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2" x14ac:dyDescent="0.25">
      <c r="A254" s="173"/>
      <c r="B254" s="1"/>
      <c r="C254" s="2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2" x14ac:dyDescent="0.25">
      <c r="A255" s="173"/>
      <c r="B255" s="1"/>
      <c r="C255" s="2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2" x14ac:dyDescent="0.25">
      <c r="A256" s="173"/>
      <c r="B256" s="1"/>
      <c r="C256" s="2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2" x14ac:dyDescent="0.25">
      <c r="A257" s="173"/>
      <c r="B257" s="1"/>
      <c r="C257" s="2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2" x14ac:dyDescent="0.25">
      <c r="A258" s="173"/>
      <c r="B258" s="1"/>
      <c r="C258" s="2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2" x14ac:dyDescent="0.25">
      <c r="A259" s="173"/>
      <c r="B259" s="1"/>
      <c r="C259" s="2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2" x14ac:dyDescent="0.25">
      <c r="A260" s="173"/>
      <c r="B260" s="1"/>
      <c r="C260" s="2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2" x14ac:dyDescent="0.25">
      <c r="A261" s="173"/>
      <c r="B261" s="1"/>
      <c r="C261" s="2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2" x14ac:dyDescent="0.25">
      <c r="A262" s="173"/>
      <c r="B262" s="1"/>
      <c r="C262" s="2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2" x14ac:dyDescent="0.25">
      <c r="A263" s="173"/>
      <c r="B263" s="1"/>
      <c r="C263" s="2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2" x14ac:dyDescent="0.25">
      <c r="A264" s="173"/>
      <c r="B264" s="1"/>
      <c r="C264" s="2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2" x14ac:dyDescent="0.25">
      <c r="A265" s="173"/>
      <c r="B265" s="1"/>
      <c r="C265" s="2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2" x14ac:dyDescent="0.25">
      <c r="A266" s="173"/>
      <c r="B266" s="1"/>
      <c r="C266" s="2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2" x14ac:dyDescent="0.25">
      <c r="A267" s="173"/>
      <c r="B267" s="1"/>
      <c r="C267" s="2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2" x14ac:dyDescent="0.25">
      <c r="A268" s="173"/>
      <c r="B268" s="1"/>
      <c r="C268" s="2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2" x14ac:dyDescent="0.25">
      <c r="A269" s="173"/>
      <c r="B269" s="1"/>
      <c r="C269" s="2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2" x14ac:dyDescent="0.25">
      <c r="A270" s="173"/>
      <c r="B270" s="1"/>
      <c r="C270" s="2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2" x14ac:dyDescent="0.25">
      <c r="A271" s="173"/>
      <c r="B271" s="1"/>
      <c r="C271" s="2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2" x14ac:dyDescent="0.25">
      <c r="A272" s="173"/>
      <c r="B272" s="1"/>
      <c r="C272" s="2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2" x14ac:dyDescent="0.25">
      <c r="A273" s="173"/>
      <c r="B273" s="1"/>
      <c r="C273" s="2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2" x14ac:dyDescent="0.25">
      <c r="A274" s="173"/>
      <c r="B274" s="1"/>
      <c r="C274" s="2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2" x14ac:dyDescent="0.25">
      <c r="A275" s="173"/>
      <c r="B275" s="1"/>
      <c r="C275" s="2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2" x14ac:dyDescent="0.25">
      <c r="A276" s="173"/>
      <c r="B276" s="1"/>
      <c r="C276" s="2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2" x14ac:dyDescent="0.25">
      <c r="A277" s="173"/>
      <c r="B277" s="1"/>
      <c r="C277" s="2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2" x14ac:dyDescent="0.25">
      <c r="A278" s="173"/>
      <c r="B278" s="1"/>
      <c r="C278" s="2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2" x14ac:dyDescent="0.25">
      <c r="A279" s="173"/>
      <c r="B279" s="1"/>
      <c r="C279" s="2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2" x14ac:dyDescent="0.25">
      <c r="A280" s="173"/>
      <c r="B280" s="1"/>
      <c r="C280" s="2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2" x14ac:dyDescent="0.25">
      <c r="A281" s="173"/>
      <c r="B281" s="1"/>
      <c r="C281" s="2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2" x14ac:dyDescent="0.25">
      <c r="A282" s="173"/>
      <c r="B282" s="1"/>
      <c r="C282" s="2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2" x14ac:dyDescent="0.25">
      <c r="A283" s="173"/>
      <c r="B283" s="1"/>
      <c r="C283" s="2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2" x14ac:dyDescent="0.25">
      <c r="A284" s="173"/>
      <c r="B284" s="1"/>
      <c r="C284" s="2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2" x14ac:dyDescent="0.25">
      <c r="A285" s="173"/>
      <c r="B285" s="1"/>
      <c r="C285" s="2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2" x14ac:dyDescent="0.25">
      <c r="A286" s="173"/>
      <c r="B286" s="1"/>
      <c r="C286" s="2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2" x14ac:dyDescent="0.25">
      <c r="A287" s="173"/>
      <c r="B287" s="1"/>
      <c r="C287" s="2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2" x14ac:dyDescent="0.25">
      <c r="A288" s="173"/>
      <c r="B288" s="1"/>
      <c r="C288" s="2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2" x14ac:dyDescent="0.25">
      <c r="A289" s="173"/>
      <c r="B289" s="1"/>
      <c r="C289" s="2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2" x14ac:dyDescent="0.25">
      <c r="A290" s="173"/>
      <c r="B290" s="1"/>
      <c r="C290" s="2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2" x14ac:dyDescent="0.25">
      <c r="A291" s="173"/>
      <c r="B291" s="1"/>
      <c r="C291" s="2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2" x14ac:dyDescent="0.25">
      <c r="A292" s="173"/>
      <c r="B292" s="1"/>
      <c r="C292" s="2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2" x14ac:dyDescent="0.25">
      <c r="A293" s="173"/>
      <c r="B293" s="1"/>
      <c r="C293" s="2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2" x14ac:dyDescent="0.25">
      <c r="A294" s="173"/>
      <c r="B294" s="1"/>
      <c r="C294" s="2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2" x14ac:dyDescent="0.25">
      <c r="A295" s="173"/>
      <c r="B295" s="1"/>
      <c r="C295" s="2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2" x14ac:dyDescent="0.25">
      <c r="A296" s="173"/>
      <c r="B296" s="1"/>
      <c r="C296" s="2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2" x14ac:dyDescent="0.25">
      <c r="A297" s="173"/>
      <c r="B297" s="1"/>
      <c r="C297" s="2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2" x14ac:dyDescent="0.25">
      <c r="A298" s="173"/>
      <c r="B298" s="1"/>
      <c r="C298" s="2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2" x14ac:dyDescent="0.25">
      <c r="A299" s="173"/>
      <c r="B299" s="1"/>
      <c r="C299" s="2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2" x14ac:dyDescent="0.25">
      <c r="A300" s="173"/>
      <c r="B300" s="1"/>
      <c r="C300" s="2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2" x14ac:dyDescent="0.25">
      <c r="A301" s="173"/>
      <c r="B301" s="1"/>
      <c r="C301" s="2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2" x14ac:dyDescent="0.25">
      <c r="A302" s="173"/>
      <c r="B302" s="1"/>
      <c r="C302" s="2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2" x14ac:dyDescent="0.25">
      <c r="A303" s="173"/>
      <c r="B303" s="1"/>
      <c r="C303" s="2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2" x14ac:dyDescent="0.25">
      <c r="A304" s="173"/>
      <c r="B304" s="1"/>
      <c r="C304" s="2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2" x14ac:dyDescent="0.25">
      <c r="A305" s="173"/>
      <c r="B305" s="1"/>
      <c r="C305" s="2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2" x14ac:dyDescent="0.25">
      <c r="A306" s="173"/>
      <c r="B306" s="1"/>
      <c r="C306" s="2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2" x14ac:dyDescent="0.25">
      <c r="A307" s="173"/>
      <c r="B307" s="1"/>
      <c r="C307" s="2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2" x14ac:dyDescent="0.25">
      <c r="A308" s="173"/>
      <c r="B308" s="1"/>
      <c r="C308" s="2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2" x14ac:dyDescent="0.25">
      <c r="A309" s="173"/>
      <c r="B309" s="1"/>
      <c r="C309" s="2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2" x14ac:dyDescent="0.25">
      <c r="A310" s="173"/>
      <c r="B310" s="1"/>
      <c r="C310" s="2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2" x14ac:dyDescent="0.25">
      <c r="A311" s="173"/>
      <c r="B311" s="1"/>
      <c r="C311" s="2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2" x14ac:dyDescent="0.25">
      <c r="A312" s="173"/>
      <c r="B312" s="1"/>
      <c r="C312" s="2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2" x14ac:dyDescent="0.25">
      <c r="A313" s="173"/>
      <c r="B313" s="1"/>
      <c r="C313" s="2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2" x14ac:dyDescent="0.25">
      <c r="A314" s="173"/>
      <c r="B314" s="1"/>
      <c r="C314" s="2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2" x14ac:dyDescent="0.25">
      <c r="A315" s="173"/>
      <c r="B315" s="1"/>
      <c r="C315" s="2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2" x14ac:dyDescent="0.25">
      <c r="A316" s="173"/>
      <c r="B316" s="1"/>
      <c r="C316" s="2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2" x14ac:dyDescent="0.25">
      <c r="A317" s="173"/>
      <c r="B317" s="1"/>
      <c r="C317" s="2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2" x14ac:dyDescent="0.25">
      <c r="A318" s="173"/>
      <c r="B318" s="1"/>
      <c r="C318" s="2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2" x14ac:dyDescent="0.25">
      <c r="A319" s="173"/>
      <c r="B319" s="1"/>
      <c r="C319" s="2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2" x14ac:dyDescent="0.25">
      <c r="A320" s="173"/>
      <c r="B320" s="1"/>
      <c r="C320" s="2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2" x14ac:dyDescent="0.25">
      <c r="A321" s="173"/>
      <c r="B321" s="1"/>
      <c r="C321" s="2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2" x14ac:dyDescent="0.25">
      <c r="A322" s="173"/>
      <c r="B322" s="1"/>
      <c r="C322" s="2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2" x14ac:dyDescent="0.25">
      <c r="A323" s="173"/>
      <c r="B323" s="1"/>
      <c r="C323" s="2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2" x14ac:dyDescent="0.25">
      <c r="A324" s="173"/>
      <c r="B324" s="1"/>
      <c r="C324" s="2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2" x14ac:dyDescent="0.25">
      <c r="A325" s="173"/>
      <c r="B325" s="1"/>
      <c r="C325" s="2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2" x14ac:dyDescent="0.25">
      <c r="A326" s="173"/>
      <c r="B326" s="1"/>
      <c r="C326" s="2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2" x14ac:dyDescent="0.25">
      <c r="A327" s="173"/>
      <c r="B327" s="1"/>
      <c r="C327" s="2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2" x14ac:dyDescent="0.25">
      <c r="A328" s="173"/>
      <c r="B328" s="1"/>
      <c r="C328" s="2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2" x14ac:dyDescent="0.25">
      <c r="A329" s="173"/>
      <c r="B329" s="1"/>
      <c r="C329" s="2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2" x14ac:dyDescent="0.25">
      <c r="A330" s="173"/>
      <c r="B330" s="1"/>
      <c r="C330" s="2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2" x14ac:dyDescent="0.25">
      <c r="A331" s="173"/>
      <c r="B331" s="1"/>
      <c r="C331" s="2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2" x14ac:dyDescent="0.25">
      <c r="A332" s="173"/>
      <c r="B332" s="1"/>
      <c r="C332" s="2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2" x14ac:dyDescent="0.25">
      <c r="A333" s="173"/>
      <c r="B333" s="1"/>
      <c r="C333" s="2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2" x14ac:dyDescent="0.25">
      <c r="A334" s="173"/>
      <c r="B334" s="1"/>
      <c r="C334" s="2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2" x14ac:dyDescent="0.25">
      <c r="A335" s="173"/>
      <c r="B335" s="1"/>
      <c r="C335" s="2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2" x14ac:dyDescent="0.25">
      <c r="A336" s="173"/>
      <c r="B336" s="1"/>
      <c r="C336" s="2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2" x14ac:dyDescent="0.25">
      <c r="A337" s="173"/>
      <c r="B337" s="1"/>
      <c r="C337" s="2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2" x14ac:dyDescent="0.25">
      <c r="A338" s="173"/>
      <c r="B338" s="1"/>
      <c r="C338" s="2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2" x14ac:dyDescent="0.25">
      <c r="A339" s="173"/>
      <c r="B339" s="1"/>
      <c r="C339" s="2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2" x14ac:dyDescent="0.25">
      <c r="A340" s="173"/>
      <c r="B340" s="1"/>
      <c r="C340" s="2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2" x14ac:dyDescent="0.25">
      <c r="A341" s="173"/>
      <c r="B341" s="1"/>
      <c r="C341" s="2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2" x14ac:dyDescent="0.25">
      <c r="A342" s="173"/>
      <c r="B342" s="1"/>
      <c r="C342" s="2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2" x14ac:dyDescent="0.25">
      <c r="A343" s="173"/>
      <c r="B343" s="1"/>
      <c r="C343" s="2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2" x14ac:dyDescent="0.25">
      <c r="A344" s="173"/>
      <c r="B344" s="1"/>
      <c r="C344" s="2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2" x14ac:dyDescent="0.25">
      <c r="A345" s="173"/>
      <c r="B345" s="1"/>
      <c r="C345" s="2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2" x14ac:dyDescent="0.25">
      <c r="A346" s="173"/>
      <c r="B346" s="1"/>
      <c r="C346" s="2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2" x14ac:dyDescent="0.25">
      <c r="A347" s="173"/>
      <c r="B347" s="1"/>
      <c r="C347" s="2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2" x14ac:dyDescent="0.25">
      <c r="A348" s="173"/>
      <c r="B348" s="1"/>
      <c r="C348" s="2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2" x14ac:dyDescent="0.25">
      <c r="A349" s="173"/>
      <c r="B349" s="1"/>
      <c r="C349" s="2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2" x14ac:dyDescent="0.25">
      <c r="A350" s="173"/>
      <c r="B350" s="1"/>
      <c r="C350" s="2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2" x14ac:dyDescent="0.25">
      <c r="A351" s="173"/>
      <c r="B351" s="1"/>
      <c r="C351" s="2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2" x14ac:dyDescent="0.25">
      <c r="A352" s="173"/>
      <c r="B352" s="1"/>
      <c r="C352" s="2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2" x14ac:dyDescent="0.25">
      <c r="A353" s="173"/>
      <c r="B353" s="1"/>
      <c r="C353" s="2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2" x14ac:dyDescent="0.25">
      <c r="A354" s="173"/>
      <c r="B354" s="1"/>
      <c r="C354" s="2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2" x14ac:dyDescent="0.25">
      <c r="A355" s="173"/>
      <c r="B355" s="1"/>
      <c r="C355" s="2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2" x14ac:dyDescent="0.25">
      <c r="A356" s="173"/>
      <c r="B356" s="1"/>
      <c r="C356" s="2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2" x14ac:dyDescent="0.25">
      <c r="A357" s="173"/>
      <c r="B357" s="1"/>
      <c r="C357" s="2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2" x14ac:dyDescent="0.25">
      <c r="A358" s="173"/>
      <c r="B358" s="1"/>
      <c r="C358" s="2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2" x14ac:dyDescent="0.25">
      <c r="A359" s="173"/>
      <c r="B359" s="1"/>
      <c r="C359" s="2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2" x14ac:dyDescent="0.25">
      <c r="A360" s="173"/>
      <c r="B360" s="1"/>
      <c r="C360" s="2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2" x14ac:dyDescent="0.25">
      <c r="A361" s="173"/>
      <c r="B361" s="1"/>
      <c r="C361" s="2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2" x14ac:dyDescent="0.25">
      <c r="A362" s="173"/>
      <c r="B362" s="1"/>
      <c r="C362" s="2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2" x14ac:dyDescent="0.25">
      <c r="A363" s="173"/>
      <c r="B363" s="1"/>
      <c r="C363" s="2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2" x14ac:dyDescent="0.25">
      <c r="A364" s="173"/>
      <c r="B364" s="1"/>
      <c r="C364" s="2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2" x14ac:dyDescent="0.25">
      <c r="A365" s="173"/>
      <c r="B365" s="1"/>
      <c r="C365" s="2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2" x14ac:dyDescent="0.25">
      <c r="A366" s="173"/>
      <c r="B366" s="1"/>
      <c r="C366" s="2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2" x14ac:dyDescent="0.25">
      <c r="A367" s="173"/>
      <c r="B367" s="1"/>
      <c r="C367" s="2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2" x14ac:dyDescent="0.25">
      <c r="A368" s="173"/>
      <c r="B368" s="1"/>
      <c r="C368" s="2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2" x14ac:dyDescent="0.25">
      <c r="A369" s="173"/>
      <c r="B369" s="1"/>
      <c r="C369" s="2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2" x14ac:dyDescent="0.25">
      <c r="A370" s="173"/>
      <c r="B370" s="1"/>
      <c r="C370" s="2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2" x14ac:dyDescent="0.25">
      <c r="A371" s="173"/>
      <c r="B371" s="1"/>
      <c r="C371" s="2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2" x14ac:dyDescent="0.25">
      <c r="A372" s="173"/>
      <c r="B372" s="1"/>
      <c r="C372" s="2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2" x14ac:dyDescent="0.25">
      <c r="A373" s="173"/>
      <c r="B373" s="1"/>
      <c r="C373" s="2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2" x14ac:dyDescent="0.25">
      <c r="A374" s="173"/>
      <c r="B374" s="1"/>
      <c r="C374" s="2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2" x14ac:dyDescent="0.25">
      <c r="A375" s="173"/>
      <c r="B375" s="1"/>
      <c r="C375" s="2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2" x14ac:dyDescent="0.25">
      <c r="A376" s="173"/>
      <c r="B376" s="1"/>
      <c r="C376" s="2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2" x14ac:dyDescent="0.25">
      <c r="A377" s="173"/>
      <c r="B377" s="1"/>
      <c r="C377" s="2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2" x14ac:dyDescent="0.25">
      <c r="A378" s="173"/>
      <c r="B378" s="1"/>
      <c r="C378" s="2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2" x14ac:dyDescent="0.25">
      <c r="A379" s="173"/>
      <c r="B379" s="1"/>
      <c r="C379" s="2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2" x14ac:dyDescent="0.25">
      <c r="A380" s="173"/>
      <c r="B380" s="1"/>
      <c r="C380" s="2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2" x14ac:dyDescent="0.25">
      <c r="A381" s="173"/>
      <c r="B381" s="1"/>
      <c r="C381" s="2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2" x14ac:dyDescent="0.25">
      <c r="A382" s="173"/>
      <c r="B382" s="1"/>
      <c r="C382" s="2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2" x14ac:dyDescent="0.25">
      <c r="A383" s="173"/>
      <c r="B383" s="1"/>
      <c r="C383" s="2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2" x14ac:dyDescent="0.25">
      <c r="A384" s="173"/>
      <c r="B384" s="1"/>
      <c r="C384" s="2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2" x14ac:dyDescent="0.25">
      <c r="A385" s="173"/>
      <c r="B385" s="1"/>
      <c r="C385" s="2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2" x14ac:dyDescent="0.25">
      <c r="A386" s="173"/>
      <c r="B386" s="1"/>
      <c r="C386" s="2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2" x14ac:dyDescent="0.25">
      <c r="A387" s="173"/>
      <c r="B387" s="1"/>
      <c r="C387" s="2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2" x14ac:dyDescent="0.25">
      <c r="A388" s="173"/>
      <c r="B388" s="1"/>
      <c r="C388" s="2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2" x14ac:dyDescent="0.25">
      <c r="A389" s="173"/>
      <c r="B389" s="1"/>
      <c r="C389" s="2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2" x14ac:dyDescent="0.25">
      <c r="A390" s="173"/>
      <c r="B390" s="1"/>
      <c r="C390" s="2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2" x14ac:dyDescent="0.25">
      <c r="A391" s="173"/>
      <c r="B391" s="1"/>
      <c r="C391" s="2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2" x14ac:dyDescent="0.25">
      <c r="A392" s="173"/>
      <c r="B392" s="1"/>
      <c r="C392" s="2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2" x14ac:dyDescent="0.25">
      <c r="A393" s="173"/>
      <c r="B393" s="1"/>
      <c r="C393" s="2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2" x14ac:dyDescent="0.25">
      <c r="A394" s="173"/>
      <c r="B394" s="1"/>
      <c r="C394" s="2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2" x14ac:dyDescent="0.25">
      <c r="A395" s="173"/>
      <c r="B395" s="1"/>
      <c r="C395" s="2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2" x14ac:dyDescent="0.25">
      <c r="A396" s="173"/>
      <c r="B396" s="1"/>
      <c r="C396" s="2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2" x14ac:dyDescent="0.25">
      <c r="A397" s="173"/>
      <c r="B397" s="1"/>
      <c r="C397" s="2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2" x14ac:dyDescent="0.25">
      <c r="A398" s="173"/>
      <c r="B398" s="1"/>
      <c r="C398" s="2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2" x14ac:dyDescent="0.25">
      <c r="A399" s="173"/>
      <c r="B399" s="1"/>
      <c r="C399" s="2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2" x14ac:dyDescent="0.25">
      <c r="A400" s="173"/>
      <c r="B400" s="1"/>
      <c r="C400" s="2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2" x14ac:dyDescent="0.25">
      <c r="A401" s="173"/>
      <c r="B401" s="1"/>
      <c r="C401" s="2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2" x14ac:dyDescent="0.25">
      <c r="A402" s="173"/>
      <c r="B402" s="1"/>
      <c r="C402" s="2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2" x14ac:dyDescent="0.25">
      <c r="A403" s="173"/>
      <c r="B403" s="1"/>
      <c r="C403" s="2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2" x14ac:dyDescent="0.25">
      <c r="A404" s="173"/>
      <c r="B404" s="1"/>
      <c r="C404" s="2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2" x14ac:dyDescent="0.25">
      <c r="A405" s="173"/>
      <c r="B405" s="1"/>
      <c r="C405" s="2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2" x14ac:dyDescent="0.25">
      <c r="A406" s="173"/>
      <c r="B406" s="1"/>
      <c r="C406" s="2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2" x14ac:dyDescent="0.25">
      <c r="A407" s="173"/>
      <c r="B407" s="1"/>
      <c r="C407" s="2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2" x14ac:dyDescent="0.25">
      <c r="A408" s="173"/>
      <c r="B408" s="1"/>
      <c r="C408" s="2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2" x14ac:dyDescent="0.25">
      <c r="A409" s="173"/>
      <c r="B409" s="1"/>
      <c r="C409" s="2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2" x14ac:dyDescent="0.25">
      <c r="A410" s="173"/>
      <c r="B410" s="1"/>
      <c r="C410" s="2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2" x14ac:dyDescent="0.25">
      <c r="A411" s="173"/>
      <c r="B411" s="1"/>
      <c r="C411" s="2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2" x14ac:dyDescent="0.25">
      <c r="A412" s="173"/>
      <c r="B412" s="1"/>
      <c r="C412" s="2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2" x14ac:dyDescent="0.25">
      <c r="A413" s="173"/>
      <c r="B413" s="1"/>
      <c r="C413" s="2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2" x14ac:dyDescent="0.25">
      <c r="A414" s="173"/>
      <c r="B414" s="1"/>
      <c r="C414" s="2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2" x14ac:dyDescent="0.25">
      <c r="A415" s="173"/>
      <c r="B415" s="1"/>
      <c r="C415" s="2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2" x14ac:dyDescent="0.25">
      <c r="A416" s="173"/>
      <c r="B416" s="1"/>
      <c r="C416" s="2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2" x14ac:dyDescent="0.25">
      <c r="A417" s="173"/>
      <c r="B417" s="1"/>
      <c r="C417" s="2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2" x14ac:dyDescent="0.25">
      <c r="A418" s="173"/>
      <c r="B418" s="1"/>
      <c r="C418" s="2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2" x14ac:dyDescent="0.25">
      <c r="A419" s="173"/>
      <c r="B419" s="1"/>
      <c r="C419" s="2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2" x14ac:dyDescent="0.25">
      <c r="A420" s="173"/>
      <c r="B420" s="1"/>
      <c r="C420" s="2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2" x14ac:dyDescent="0.25">
      <c r="A421" s="173"/>
      <c r="B421" s="1"/>
      <c r="C421" s="2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2" x14ac:dyDescent="0.25">
      <c r="A422" s="173"/>
      <c r="B422" s="1"/>
      <c r="C422" s="2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2" x14ac:dyDescent="0.25">
      <c r="A423" s="173"/>
      <c r="B423" s="1"/>
      <c r="C423" s="2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2" x14ac:dyDescent="0.25">
      <c r="A424" s="173"/>
      <c r="B424" s="1"/>
      <c r="C424" s="2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2" x14ac:dyDescent="0.25">
      <c r="A425" s="173"/>
      <c r="B425" s="1"/>
      <c r="C425" s="2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2" x14ac:dyDescent="0.25">
      <c r="A426" s="173"/>
      <c r="B426" s="1"/>
      <c r="C426" s="2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2" x14ac:dyDescent="0.25">
      <c r="A427" s="173"/>
      <c r="B427" s="1"/>
      <c r="C427" s="2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2" x14ac:dyDescent="0.25">
      <c r="A428" s="173"/>
      <c r="B428" s="1"/>
      <c r="C428" s="2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2" x14ac:dyDescent="0.25">
      <c r="A429" s="173"/>
      <c r="B429" s="1"/>
      <c r="C429" s="2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2" x14ac:dyDescent="0.25">
      <c r="A430" s="173"/>
      <c r="B430" s="1"/>
      <c r="C430" s="2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2" x14ac:dyDescent="0.25">
      <c r="A431" s="173"/>
      <c r="B431" s="1"/>
      <c r="C431" s="2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2" x14ac:dyDescent="0.25">
      <c r="A432" s="173"/>
      <c r="B432" s="1"/>
      <c r="C432" s="2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2" x14ac:dyDescent="0.25">
      <c r="A433" s="173"/>
      <c r="B433" s="1"/>
      <c r="C433" s="2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2" x14ac:dyDescent="0.25">
      <c r="A434" s="173"/>
      <c r="B434" s="1"/>
      <c r="C434" s="2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2" x14ac:dyDescent="0.25">
      <c r="A435" s="173"/>
      <c r="B435" s="1"/>
      <c r="C435" s="2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2" x14ac:dyDescent="0.25">
      <c r="A436" s="173"/>
      <c r="B436" s="1"/>
      <c r="C436" s="2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2" x14ac:dyDescent="0.25">
      <c r="A437" s="173"/>
      <c r="B437" s="1"/>
      <c r="C437" s="2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2" x14ac:dyDescent="0.25">
      <c r="A438" s="173"/>
      <c r="B438" s="1"/>
      <c r="C438" s="2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2" x14ac:dyDescent="0.25">
      <c r="A439" s="173"/>
      <c r="B439" s="1"/>
      <c r="C439" s="2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2" x14ac:dyDescent="0.25">
      <c r="A440" s="173"/>
      <c r="B440" s="1"/>
      <c r="C440" s="2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2" x14ac:dyDescent="0.25">
      <c r="A441" s="173"/>
      <c r="B441" s="1"/>
      <c r="C441" s="2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2" x14ac:dyDescent="0.25">
      <c r="A442" s="173"/>
      <c r="B442" s="1"/>
      <c r="C442" s="2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2" x14ac:dyDescent="0.25">
      <c r="A443" s="173"/>
      <c r="B443" s="1"/>
      <c r="C443" s="2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2" x14ac:dyDescent="0.25">
      <c r="A444" s="173"/>
      <c r="B444" s="1"/>
      <c r="C444" s="2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2" x14ac:dyDescent="0.25">
      <c r="A445" s="173"/>
      <c r="B445" s="1"/>
      <c r="C445" s="2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2" x14ac:dyDescent="0.25">
      <c r="A446" s="173"/>
      <c r="B446" s="1"/>
      <c r="C446" s="2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2" x14ac:dyDescent="0.25">
      <c r="A447" s="173"/>
      <c r="B447" s="1"/>
      <c r="C447" s="2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2" x14ac:dyDescent="0.25">
      <c r="A448" s="173"/>
      <c r="B448" s="1"/>
      <c r="C448" s="2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2" x14ac:dyDescent="0.25">
      <c r="A449" s="173"/>
      <c r="B449" s="1"/>
      <c r="C449" s="2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2" x14ac:dyDescent="0.25">
      <c r="A450" s="173"/>
      <c r="B450" s="1"/>
      <c r="C450" s="2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2" x14ac:dyDescent="0.25">
      <c r="A451" s="173"/>
      <c r="B451" s="1"/>
      <c r="C451" s="2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2" x14ac:dyDescent="0.25">
      <c r="A452" s="173"/>
      <c r="B452" s="1"/>
      <c r="C452" s="2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2" x14ac:dyDescent="0.25">
      <c r="A453" s="173"/>
      <c r="B453" s="1"/>
      <c r="C453" s="2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2" x14ac:dyDescent="0.25">
      <c r="A454" s="173"/>
      <c r="B454" s="1"/>
      <c r="C454" s="2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2" x14ac:dyDescent="0.25">
      <c r="A455" s="173"/>
      <c r="B455" s="1"/>
      <c r="C455" s="2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2" x14ac:dyDescent="0.25">
      <c r="A456" s="173"/>
      <c r="B456" s="1"/>
      <c r="C456" s="2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2" x14ac:dyDescent="0.25">
      <c r="A457" s="173"/>
      <c r="B457" s="1"/>
      <c r="C457" s="2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2" x14ac:dyDescent="0.25">
      <c r="A458" s="173"/>
      <c r="B458" s="1"/>
      <c r="C458" s="2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2" x14ac:dyDescent="0.25">
      <c r="A459" s="173"/>
      <c r="B459" s="1"/>
      <c r="C459" s="2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2" x14ac:dyDescent="0.25">
      <c r="A460" s="173"/>
      <c r="B460" s="1"/>
      <c r="C460" s="2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2" x14ac:dyDescent="0.25">
      <c r="A461" s="173"/>
      <c r="B461" s="1"/>
      <c r="C461" s="2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2" x14ac:dyDescent="0.25">
      <c r="A462" s="173"/>
      <c r="B462" s="1"/>
      <c r="C462" s="2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2" x14ac:dyDescent="0.25">
      <c r="A463" s="173"/>
      <c r="B463" s="1"/>
      <c r="C463" s="2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2" x14ac:dyDescent="0.25">
      <c r="A464" s="173"/>
      <c r="B464" s="1"/>
      <c r="C464" s="2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2" x14ac:dyDescent="0.25">
      <c r="A465" s="173"/>
      <c r="B465" s="1"/>
      <c r="C465" s="2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2" x14ac:dyDescent="0.25">
      <c r="A466" s="173"/>
      <c r="B466" s="1"/>
      <c r="C466" s="2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2" x14ac:dyDescent="0.25">
      <c r="A467" s="173"/>
      <c r="B467" s="1"/>
      <c r="C467" s="2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2" x14ac:dyDescent="0.25">
      <c r="A468" s="173"/>
      <c r="B468" s="1"/>
      <c r="C468" s="2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2" x14ac:dyDescent="0.25">
      <c r="A469" s="173"/>
      <c r="B469" s="1"/>
      <c r="C469" s="2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2" x14ac:dyDescent="0.25">
      <c r="A470" s="173"/>
      <c r="B470" s="1"/>
      <c r="C470" s="2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2" x14ac:dyDescent="0.25">
      <c r="A471" s="173"/>
      <c r="B471" s="1"/>
      <c r="C471" s="2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2" x14ac:dyDescent="0.25">
      <c r="A472" s="173"/>
      <c r="B472" s="1"/>
      <c r="C472" s="2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2" x14ac:dyDescent="0.25">
      <c r="A473" s="173"/>
      <c r="B473" s="1"/>
      <c r="C473" s="2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2" x14ac:dyDescent="0.25">
      <c r="A474" s="173"/>
      <c r="B474" s="1"/>
      <c r="C474" s="2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2" x14ac:dyDescent="0.25">
      <c r="A475" s="173"/>
      <c r="B475" s="1"/>
      <c r="C475" s="2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2" x14ac:dyDescent="0.25">
      <c r="A476" s="173"/>
      <c r="B476" s="1"/>
      <c r="C476" s="2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2" x14ac:dyDescent="0.25">
      <c r="A477" s="173"/>
      <c r="B477" s="1"/>
      <c r="C477" s="2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2" x14ac:dyDescent="0.25">
      <c r="A478" s="173"/>
      <c r="B478" s="1"/>
      <c r="C478" s="2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2" x14ac:dyDescent="0.25">
      <c r="A479" s="173"/>
      <c r="B479" s="1"/>
      <c r="C479" s="2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2" x14ac:dyDescent="0.25">
      <c r="A480" s="173"/>
      <c r="B480" s="1"/>
      <c r="C480" s="2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2" x14ac:dyDescent="0.25">
      <c r="A481" s="173"/>
      <c r="B481" s="1"/>
      <c r="C481" s="2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2" x14ac:dyDescent="0.25">
      <c r="A482" s="173"/>
      <c r="B482" s="1"/>
      <c r="C482" s="2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2" x14ac:dyDescent="0.25">
      <c r="A483" s="173"/>
      <c r="B483" s="1"/>
      <c r="C483" s="2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2" x14ac:dyDescent="0.25">
      <c r="A484" s="173"/>
      <c r="B484" s="1"/>
      <c r="C484" s="2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2" x14ac:dyDescent="0.25">
      <c r="A485" s="173"/>
      <c r="B485" s="1"/>
      <c r="C485" s="2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2" x14ac:dyDescent="0.25">
      <c r="A486" s="173"/>
      <c r="B486" s="1"/>
      <c r="C486" s="2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2" x14ac:dyDescent="0.25">
      <c r="A487" s="173"/>
      <c r="B487" s="1"/>
      <c r="C487" s="2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2" x14ac:dyDescent="0.25">
      <c r="A488" s="173"/>
      <c r="B488" s="1"/>
      <c r="C488" s="2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2" x14ac:dyDescent="0.25">
      <c r="A489" s="173"/>
      <c r="B489" s="1"/>
      <c r="C489" s="2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2" x14ac:dyDescent="0.25">
      <c r="A490" s="173"/>
      <c r="B490" s="1"/>
      <c r="C490" s="2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2" x14ac:dyDescent="0.25">
      <c r="A491" s="173"/>
      <c r="B491" s="1"/>
      <c r="C491" s="2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2" x14ac:dyDescent="0.25">
      <c r="A492" s="173"/>
      <c r="B492" s="1"/>
      <c r="C492" s="2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2" x14ac:dyDescent="0.25">
      <c r="A493" s="173"/>
      <c r="B493" s="1"/>
      <c r="C493" s="2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2" x14ac:dyDescent="0.25">
      <c r="A494" s="173"/>
      <c r="B494" s="1"/>
      <c r="C494" s="2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2" x14ac:dyDescent="0.25">
      <c r="A495" s="173"/>
      <c r="B495" s="1"/>
      <c r="C495" s="2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2" x14ac:dyDescent="0.25">
      <c r="A496" s="173"/>
      <c r="B496" s="1"/>
      <c r="C496" s="2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2" x14ac:dyDescent="0.25">
      <c r="A497" s="173"/>
      <c r="B497" s="1"/>
      <c r="C497" s="2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2" x14ac:dyDescent="0.25">
      <c r="A498" s="173"/>
      <c r="B498" s="1"/>
      <c r="C498" s="2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2" x14ac:dyDescent="0.25">
      <c r="A499" s="173"/>
      <c r="B499" s="1"/>
      <c r="C499" s="2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2" x14ac:dyDescent="0.25">
      <c r="A500" s="173"/>
      <c r="B500" s="1"/>
      <c r="C500" s="2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2" x14ac:dyDescent="0.25">
      <c r="A501" s="173"/>
      <c r="B501" s="1"/>
      <c r="C501" s="2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2" x14ac:dyDescent="0.25">
      <c r="A502" s="173"/>
      <c r="B502" s="1"/>
      <c r="C502" s="2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2" x14ac:dyDescent="0.25">
      <c r="A503" s="173"/>
      <c r="B503" s="1"/>
      <c r="C503" s="2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2" x14ac:dyDescent="0.25">
      <c r="A504" s="173"/>
      <c r="B504" s="1"/>
      <c r="C504" s="2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2" x14ac:dyDescent="0.25">
      <c r="A505" s="173"/>
      <c r="B505" s="1"/>
      <c r="C505" s="2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2" x14ac:dyDescent="0.25">
      <c r="A506" s="173"/>
      <c r="B506" s="1"/>
      <c r="C506" s="2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2" x14ac:dyDescent="0.25">
      <c r="A507" s="173"/>
      <c r="B507" s="1"/>
      <c r="C507" s="2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2" x14ac:dyDescent="0.25">
      <c r="A508" s="173"/>
      <c r="B508" s="1"/>
      <c r="C508" s="2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2" x14ac:dyDescent="0.25">
      <c r="A509" s="173"/>
      <c r="B509" s="1"/>
      <c r="C509" s="2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2" x14ac:dyDescent="0.25">
      <c r="A510" s="173"/>
      <c r="B510" s="1"/>
      <c r="C510" s="2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2" x14ac:dyDescent="0.25">
      <c r="A511" s="173"/>
      <c r="B511" s="1"/>
      <c r="C511" s="2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2" x14ac:dyDescent="0.25">
      <c r="A512" s="173"/>
      <c r="B512" s="1"/>
      <c r="C512" s="2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2" x14ac:dyDescent="0.25">
      <c r="A513" s="173"/>
      <c r="B513" s="1"/>
      <c r="C513" s="2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2" x14ac:dyDescent="0.25">
      <c r="A514" s="173"/>
      <c r="B514" s="1"/>
      <c r="C514" s="2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2" x14ac:dyDescent="0.25">
      <c r="A515" s="173"/>
      <c r="B515" s="1"/>
      <c r="C515" s="2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2" x14ac:dyDescent="0.25">
      <c r="A516" s="173"/>
      <c r="B516" s="1"/>
      <c r="C516" s="2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2" x14ac:dyDescent="0.25">
      <c r="A517" s="173"/>
      <c r="B517" s="1"/>
      <c r="C517" s="2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2" x14ac:dyDescent="0.25">
      <c r="A518" s="173"/>
      <c r="B518" s="1"/>
      <c r="C518" s="2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2" x14ac:dyDescent="0.25">
      <c r="A519" s="173"/>
      <c r="B519" s="1"/>
      <c r="C519" s="2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2" x14ac:dyDescent="0.25">
      <c r="A520" s="173"/>
      <c r="B520" s="1"/>
      <c r="C520" s="2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2" x14ac:dyDescent="0.25">
      <c r="A521" s="173"/>
      <c r="B521" s="1"/>
      <c r="C521" s="2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2" x14ac:dyDescent="0.25">
      <c r="A522" s="173"/>
      <c r="B522" s="1"/>
      <c r="C522" s="2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2" x14ac:dyDescent="0.25">
      <c r="A523" s="173"/>
      <c r="B523" s="1"/>
      <c r="C523" s="2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2" x14ac:dyDescent="0.25">
      <c r="A524" s="173"/>
      <c r="B524" s="1"/>
      <c r="C524" s="2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2" x14ac:dyDescent="0.25">
      <c r="A525" s="173"/>
      <c r="B525" s="1"/>
      <c r="C525" s="2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2" x14ac:dyDescent="0.25">
      <c r="A526" s="173"/>
      <c r="B526" s="1"/>
      <c r="C526" s="2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2" x14ac:dyDescent="0.25">
      <c r="A527" s="173"/>
      <c r="B527" s="1"/>
      <c r="C527" s="2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2" x14ac:dyDescent="0.25">
      <c r="A528" s="173"/>
      <c r="B528" s="1"/>
      <c r="C528" s="2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2" x14ac:dyDescent="0.25">
      <c r="A529" s="173"/>
      <c r="B529" s="1"/>
      <c r="C529" s="2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2" x14ac:dyDescent="0.25">
      <c r="A530" s="173"/>
      <c r="B530" s="1"/>
      <c r="C530" s="2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2" x14ac:dyDescent="0.25">
      <c r="A531" s="173"/>
      <c r="B531" s="1"/>
      <c r="C531" s="2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2" x14ac:dyDescent="0.25">
      <c r="A532" s="173"/>
      <c r="B532" s="1"/>
      <c r="C532" s="2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2" x14ac:dyDescent="0.25">
      <c r="A533" s="173"/>
      <c r="B533" s="1"/>
      <c r="C533" s="2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2" x14ac:dyDescent="0.25">
      <c r="A534" s="173"/>
      <c r="B534" s="1"/>
      <c r="C534" s="2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2" x14ac:dyDescent="0.25">
      <c r="A535" s="173"/>
      <c r="B535" s="1"/>
      <c r="C535" s="2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2" x14ac:dyDescent="0.25">
      <c r="A536" s="173"/>
      <c r="B536" s="1"/>
      <c r="C536" s="2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2" x14ac:dyDescent="0.25">
      <c r="A537" s="173"/>
      <c r="B537" s="1"/>
      <c r="C537" s="2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2" x14ac:dyDescent="0.25">
      <c r="A538" s="173"/>
      <c r="B538" s="1"/>
      <c r="C538" s="2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2" x14ac:dyDescent="0.25">
      <c r="A539" s="173"/>
      <c r="B539" s="1"/>
      <c r="C539" s="2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2" x14ac:dyDescent="0.25">
      <c r="A540" s="173"/>
      <c r="B540" s="1"/>
      <c r="C540" s="2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2" x14ac:dyDescent="0.25">
      <c r="A541" s="173"/>
      <c r="B541" s="1"/>
      <c r="C541" s="2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2" x14ac:dyDescent="0.25">
      <c r="A542" s="173"/>
      <c r="B542" s="1"/>
      <c r="C542" s="2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2" x14ac:dyDescent="0.25">
      <c r="A543" s="173"/>
      <c r="B543" s="1"/>
      <c r="C543" s="2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2" x14ac:dyDescent="0.25">
      <c r="A544" s="173"/>
      <c r="B544" s="1"/>
      <c r="C544" s="2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2" x14ac:dyDescent="0.25">
      <c r="A545" s="173"/>
      <c r="B545" s="1"/>
      <c r="C545" s="2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2" x14ac:dyDescent="0.25">
      <c r="A546" s="173"/>
      <c r="B546" s="1"/>
      <c r="C546" s="2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2" x14ac:dyDescent="0.25">
      <c r="A547" s="173"/>
      <c r="B547" s="1"/>
      <c r="C547" s="2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2" x14ac:dyDescent="0.25">
      <c r="A548" s="173"/>
      <c r="B548" s="1"/>
      <c r="C548" s="2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2" x14ac:dyDescent="0.25">
      <c r="A549" s="173"/>
      <c r="B549" s="1"/>
      <c r="C549" s="2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2" x14ac:dyDescent="0.25">
      <c r="A550" s="173"/>
      <c r="B550" s="1"/>
      <c r="C550" s="2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2" x14ac:dyDescent="0.25">
      <c r="A551" s="173"/>
      <c r="B551" s="1"/>
      <c r="C551" s="2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2" x14ac:dyDescent="0.25">
      <c r="A552" s="173"/>
      <c r="B552" s="1"/>
      <c r="C552" s="2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2" x14ac:dyDescent="0.25">
      <c r="A553" s="173"/>
      <c r="B553" s="1"/>
      <c r="C553" s="2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2" x14ac:dyDescent="0.25">
      <c r="A554" s="173"/>
      <c r="B554" s="1"/>
      <c r="C554" s="2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2" x14ac:dyDescent="0.25">
      <c r="A555" s="173"/>
      <c r="B555" s="1"/>
      <c r="C555" s="2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2" x14ac:dyDescent="0.25">
      <c r="A556" s="173"/>
      <c r="B556" s="1"/>
      <c r="C556" s="2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2" x14ac:dyDescent="0.25">
      <c r="A557" s="173"/>
      <c r="B557" s="1"/>
      <c r="C557" s="2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2" x14ac:dyDescent="0.25">
      <c r="A558" s="173"/>
      <c r="B558" s="1"/>
      <c r="C558" s="2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2" x14ac:dyDescent="0.25">
      <c r="A559" s="173"/>
      <c r="B559" s="1"/>
      <c r="C559" s="2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2" x14ac:dyDescent="0.25">
      <c r="A560" s="173"/>
      <c r="B560" s="1"/>
      <c r="C560" s="2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2" x14ac:dyDescent="0.25">
      <c r="A561" s="173"/>
      <c r="B561" s="1"/>
      <c r="C561" s="2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2" x14ac:dyDescent="0.25">
      <c r="A562" s="173"/>
      <c r="B562" s="1"/>
      <c r="C562" s="2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2" x14ac:dyDescent="0.25">
      <c r="A563" s="173"/>
      <c r="B563" s="1"/>
      <c r="C563" s="2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2" x14ac:dyDescent="0.25">
      <c r="A564" s="173"/>
      <c r="B564" s="1"/>
      <c r="C564" s="2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2" x14ac:dyDescent="0.25">
      <c r="A565" s="173"/>
      <c r="B565" s="1"/>
      <c r="C565" s="2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2" x14ac:dyDescent="0.25">
      <c r="A566" s="173"/>
      <c r="B566" s="1"/>
      <c r="C566" s="2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2" x14ac:dyDescent="0.25">
      <c r="A567" s="173"/>
      <c r="B567" s="1"/>
      <c r="C567" s="2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2" x14ac:dyDescent="0.25">
      <c r="A568" s="173"/>
      <c r="B568" s="1"/>
      <c r="C568" s="2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2" x14ac:dyDescent="0.25">
      <c r="A569" s="173"/>
      <c r="B569" s="1"/>
      <c r="C569" s="2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2" x14ac:dyDescent="0.25">
      <c r="A570" s="173"/>
      <c r="B570" s="1"/>
      <c r="C570" s="2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2" x14ac:dyDescent="0.25">
      <c r="A571" s="173"/>
      <c r="B571" s="1"/>
      <c r="C571" s="2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2" x14ac:dyDescent="0.25">
      <c r="A572" s="173"/>
      <c r="B572" s="1"/>
      <c r="C572" s="2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2" x14ac:dyDescent="0.25">
      <c r="A573" s="173"/>
      <c r="B573" s="1"/>
      <c r="C573" s="2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2" x14ac:dyDescent="0.25">
      <c r="A574" s="173"/>
      <c r="B574" s="1"/>
      <c r="C574" s="2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2" x14ac:dyDescent="0.25">
      <c r="A575" s="173"/>
      <c r="B575" s="1"/>
      <c r="C575" s="2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2" x14ac:dyDescent="0.25">
      <c r="A576" s="173"/>
      <c r="B576" s="1"/>
      <c r="C576" s="2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2" x14ac:dyDescent="0.25">
      <c r="A577" s="173"/>
      <c r="B577" s="1"/>
      <c r="C577" s="2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2" x14ac:dyDescent="0.25">
      <c r="A578" s="173"/>
      <c r="B578" s="1"/>
      <c r="C578" s="2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2" x14ac:dyDescent="0.25">
      <c r="A579" s="173"/>
      <c r="B579" s="1"/>
      <c r="C579" s="2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2" x14ac:dyDescent="0.25">
      <c r="A580" s="173"/>
      <c r="B580" s="1"/>
      <c r="C580" s="2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2" x14ac:dyDescent="0.25">
      <c r="A581" s="173"/>
      <c r="B581" s="1"/>
      <c r="C581" s="2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2" x14ac:dyDescent="0.25">
      <c r="A582" s="173"/>
      <c r="B582" s="1"/>
      <c r="C582" s="2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2" x14ac:dyDescent="0.25">
      <c r="A583" s="173"/>
      <c r="B583" s="1"/>
      <c r="C583" s="2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2" x14ac:dyDescent="0.25">
      <c r="A584" s="173"/>
      <c r="B584" s="1"/>
      <c r="C584" s="2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2" x14ac:dyDescent="0.25">
      <c r="A585" s="173"/>
      <c r="B585" s="1"/>
      <c r="C585" s="2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2" x14ac:dyDescent="0.25">
      <c r="A586" s="173"/>
      <c r="B586" s="1"/>
      <c r="C586" s="2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2" x14ac:dyDescent="0.25">
      <c r="A587" s="173"/>
      <c r="B587" s="1"/>
      <c r="C587" s="2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2" x14ac:dyDescent="0.25">
      <c r="A588" s="173"/>
      <c r="B588" s="1"/>
      <c r="C588" s="2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2" x14ac:dyDescent="0.25">
      <c r="A589" s="173"/>
      <c r="B589" s="1"/>
      <c r="C589" s="2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2" x14ac:dyDescent="0.25">
      <c r="A590" s="173"/>
      <c r="B590" s="1"/>
      <c r="C590" s="2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2" x14ac:dyDescent="0.25">
      <c r="A591" s="173"/>
      <c r="B591" s="1"/>
      <c r="C591" s="2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2" x14ac:dyDescent="0.25">
      <c r="A592" s="173"/>
      <c r="B592" s="1"/>
      <c r="C592" s="2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2" x14ac:dyDescent="0.25">
      <c r="A593" s="173"/>
      <c r="B593" s="1"/>
      <c r="C593" s="2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2" x14ac:dyDescent="0.25">
      <c r="A594" s="173"/>
      <c r="B594" s="1"/>
      <c r="C594" s="2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2" x14ac:dyDescent="0.25">
      <c r="A595" s="173"/>
      <c r="B595" s="1"/>
      <c r="C595" s="2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2" x14ac:dyDescent="0.25">
      <c r="A596" s="173"/>
      <c r="B596" s="1"/>
      <c r="C596" s="2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2" x14ac:dyDescent="0.25">
      <c r="A597" s="173"/>
      <c r="B597" s="1"/>
      <c r="C597" s="2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2" x14ac:dyDescent="0.25">
      <c r="A598" s="173"/>
      <c r="B598" s="1"/>
      <c r="C598" s="2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2" x14ac:dyDescent="0.25">
      <c r="A599" s="173"/>
      <c r="B599" s="1"/>
      <c r="C599" s="2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2" x14ac:dyDescent="0.25">
      <c r="A600" s="173"/>
      <c r="B600" s="1"/>
      <c r="C600" s="2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2" x14ac:dyDescent="0.25">
      <c r="A601" s="173"/>
      <c r="B601" s="1"/>
      <c r="C601" s="2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2" x14ac:dyDescent="0.25">
      <c r="A602" s="173"/>
      <c r="B602" s="1"/>
      <c r="C602" s="2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2" x14ac:dyDescent="0.25">
      <c r="A603" s="173"/>
      <c r="B603" s="1"/>
      <c r="C603" s="2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2" x14ac:dyDescent="0.25">
      <c r="A604" s="173"/>
      <c r="B604" s="1"/>
      <c r="C604" s="2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2" x14ac:dyDescent="0.25">
      <c r="A605" s="173"/>
      <c r="B605" s="1"/>
      <c r="C605" s="2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2" x14ac:dyDescent="0.25">
      <c r="A606" s="173"/>
      <c r="B606" s="1"/>
      <c r="C606" s="2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2" x14ac:dyDescent="0.25">
      <c r="A607" s="173"/>
      <c r="B607" s="1"/>
      <c r="C607" s="2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2" x14ac:dyDescent="0.25">
      <c r="A608" s="173"/>
      <c r="B608" s="1"/>
      <c r="C608" s="2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2" x14ac:dyDescent="0.25">
      <c r="A609" s="173"/>
      <c r="B609" s="1"/>
      <c r="C609" s="2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2" x14ac:dyDescent="0.25">
      <c r="A610" s="173"/>
      <c r="B610" s="1"/>
      <c r="C610" s="2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2" x14ac:dyDescent="0.25">
      <c r="A611" s="173"/>
      <c r="B611" s="1"/>
      <c r="C611" s="2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2" x14ac:dyDescent="0.25">
      <c r="A612" s="173"/>
      <c r="B612" s="1"/>
      <c r="C612" s="2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2" x14ac:dyDescent="0.25">
      <c r="A613" s="173"/>
      <c r="B613" s="1"/>
      <c r="C613" s="2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2" x14ac:dyDescent="0.25">
      <c r="A614" s="173"/>
      <c r="B614" s="1"/>
      <c r="C614" s="2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2" x14ac:dyDescent="0.25">
      <c r="A615" s="173"/>
      <c r="B615" s="1"/>
      <c r="C615" s="2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2" x14ac:dyDescent="0.25">
      <c r="A616" s="173"/>
      <c r="B616" s="1"/>
      <c r="C616" s="2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2" x14ac:dyDescent="0.25">
      <c r="A617" s="173"/>
      <c r="B617" s="1"/>
      <c r="C617" s="2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2" x14ac:dyDescent="0.25">
      <c r="A618" s="173"/>
      <c r="B618" s="1"/>
      <c r="C618" s="2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2" x14ac:dyDescent="0.25">
      <c r="A619" s="173"/>
      <c r="B619" s="1"/>
      <c r="C619" s="2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2" x14ac:dyDescent="0.25">
      <c r="A620" s="173"/>
      <c r="B620" s="1"/>
      <c r="C620" s="2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2" x14ac:dyDescent="0.25">
      <c r="A621" s="173"/>
      <c r="B621" s="1"/>
      <c r="C621" s="2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2" x14ac:dyDescent="0.25">
      <c r="A622" s="173"/>
      <c r="B622" s="1"/>
      <c r="C622" s="2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2" x14ac:dyDescent="0.25">
      <c r="A623" s="173"/>
      <c r="B623" s="1"/>
      <c r="C623" s="2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2" x14ac:dyDescent="0.25">
      <c r="A624" s="173"/>
      <c r="B624" s="1"/>
      <c r="C624" s="2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2" x14ac:dyDescent="0.25">
      <c r="A625" s="173"/>
      <c r="B625" s="1"/>
      <c r="C625" s="2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2" x14ac:dyDescent="0.25">
      <c r="A626" s="173"/>
      <c r="B626" s="1"/>
      <c r="C626" s="2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2" x14ac:dyDescent="0.25">
      <c r="A627" s="173"/>
      <c r="B627" s="1"/>
      <c r="C627" s="2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2" x14ac:dyDescent="0.25">
      <c r="A628" s="173"/>
      <c r="B628" s="1"/>
      <c r="C628" s="2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2" x14ac:dyDescent="0.25">
      <c r="A629" s="173"/>
      <c r="B629" s="1"/>
      <c r="C629" s="2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2" x14ac:dyDescent="0.25">
      <c r="A630" s="173"/>
      <c r="B630" s="1"/>
      <c r="C630" s="2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2" x14ac:dyDescent="0.25">
      <c r="A631" s="173"/>
      <c r="B631" s="1"/>
      <c r="C631" s="2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2" x14ac:dyDescent="0.25">
      <c r="A632" s="173"/>
      <c r="B632" s="1"/>
      <c r="C632" s="2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2" x14ac:dyDescent="0.25">
      <c r="A633" s="173"/>
      <c r="B633" s="1"/>
      <c r="C633" s="2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2" x14ac:dyDescent="0.25">
      <c r="A634" s="173"/>
      <c r="B634" s="1"/>
      <c r="C634" s="2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2" x14ac:dyDescent="0.25">
      <c r="A635" s="173"/>
      <c r="B635" s="1"/>
      <c r="C635" s="2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2" x14ac:dyDescent="0.25">
      <c r="A636" s="173"/>
      <c r="B636" s="1"/>
      <c r="C636" s="2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2" x14ac:dyDescent="0.25">
      <c r="A637" s="173"/>
      <c r="B637" s="1"/>
      <c r="C637" s="2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2" x14ac:dyDescent="0.25">
      <c r="A638" s="173"/>
      <c r="B638" s="1"/>
      <c r="C638" s="2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2" x14ac:dyDescent="0.25">
      <c r="A639" s="173"/>
      <c r="B639" s="1"/>
      <c r="C639" s="2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2" x14ac:dyDescent="0.25">
      <c r="A640" s="173"/>
      <c r="B640" s="1"/>
      <c r="C640" s="2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2" x14ac:dyDescent="0.25">
      <c r="A641" s="173"/>
      <c r="B641" s="1"/>
      <c r="C641" s="2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2" x14ac:dyDescent="0.25">
      <c r="A642" s="173"/>
      <c r="B642" s="1"/>
      <c r="C642" s="2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2" x14ac:dyDescent="0.25">
      <c r="A643" s="173"/>
      <c r="B643" s="1"/>
      <c r="C643" s="2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2" x14ac:dyDescent="0.25">
      <c r="A644" s="173"/>
      <c r="B644" s="1"/>
      <c r="C644" s="2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2" x14ac:dyDescent="0.25">
      <c r="A645" s="173"/>
      <c r="B645" s="1"/>
      <c r="C645" s="2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2" x14ac:dyDescent="0.25">
      <c r="A646" s="173"/>
      <c r="B646" s="1"/>
      <c r="C646" s="2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2" x14ac:dyDescent="0.25">
      <c r="A647" s="173"/>
      <c r="B647" s="1"/>
      <c r="C647" s="2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2" x14ac:dyDescent="0.25">
      <c r="A648" s="173"/>
      <c r="B648" s="1"/>
      <c r="C648" s="2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2" x14ac:dyDescent="0.25">
      <c r="A649" s="173"/>
      <c r="B649" s="1"/>
      <c r="C649" s="2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2" x14ac:dyDescent="0.25">
      <c r="A650" s="173"/>
      <c r="B650" s="1"/>
      <c r="C650" s="2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2" x14ac:dyDescent="0.25">
      <c r="A651" s="173"/>
      <c r="B651" s="1"/>
      <c r="C651" s="2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2" x14ac:dyDescent="0.25">
      <c r="A652" s="173"/>
      <c r="B652" s="1"/>
      <c r="C652" s="2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2" x14ac:dyDescent="0.25">
      <c r="A653" s="173"/>
      <c r="B653" s="1"/>
      <c r="C653" s="2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2" x14ac:dyDescent="0.25">
      <c r="A654" s="173"/>
      <c r="B654" s="1"/>
      <c r="C654" s="2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2" x14ac:dyDescent="0.25">
      <c r="A655" s="173"/>
      <c r="B655" s="1"/>
      <c r="C655" s="2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2" x14ac:dyDescent="0.25">
      <c r="A656" s="173"/>
      <c r="B656" s="1"/>
      <c r="C656" s="2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2" x14ac:dyDescent="0.25">
      <c r="A657" s="173"/>
      <c r="B657" s="1"/>
      <c r="C657" s="2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2" x14ac:dyDescent="0.25">
      <c r="A658" s="173"/>
      <c r="B658" s="1"/>
      <c r="C658" s="2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2" x14ac:dyDescent="0.25">
      <c r="A659" s="173"/>
      <c r="B659" s="1"/>
      <c r="C659" s="2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2" x14ac:dyDescent="0.25">
      <c r="A660" s="173"/>
      <c r="B660" s="1"/>
      <c r="C660" s="2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2" x14ac:dyDescent="0.25">
      <c r="A661" s="173"/>
      <c r="B661" s="1"/>
      <c r="C661" s="2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2" x14ac:dyDescent="0.25">
      <c r="A662" s="173"/>
      <c r="B662" s="1"/>
      <c r="C662" s="2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2" x14ac:dyDescent="0.25">
      <c r="A663" s="173"/>
      <c r="B663" s="1"/>
      <c r="C663" s="2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2" x14ac:dyDescent="0.25">
      <c r="A664" s="173"/>
      <c r="B664" s="1"/>
      <c r="C664" s="2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2" x14ac:dyDescent="0.25">
      <c r="A665" s="173"/>
      <c r="B665" s="1"/>
      <c r="C665" s="2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2" x14ac:dyDescent="0.25">
      <c r="A666" s="173"/>
      <c r="B666" s="1"/>
      <c r="C666" s="2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2" x14ac:dyDescent="0.25">
      <c r="A667" s="173"/>
      <c r="B667" s="1"/>
      <c r="C667" s="2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2" x14ac:dyDescent="0.25">
      <c r="A668" s="173"/>
      <c r="B668" s="1"/>
      <c r="C668" s="2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2" x14ac:dyDescent="0.25">
      <c r="A669" s="173"/>
      <c r="B669" s="1"/>
      <c r="C669" s="2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2" x14ac:dyDescent="0.25">
      <c r="A670" s="173"/>
      <c r="B670" s="1"/>
      <c r="C670" s="2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2" x14ac:dyDescent="0.25">
      <c r="A671" s="173"/>
      <c r="B671" s="1"/>
      <c r="C671" s="2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2" x14ac:dyDescent="0.25">
      <c r="A672" s="173"/>
      <c r="B672" s="1"/>
      <c r="C672" s="2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2" x14ac:dyDescent="0.25">
      <c r="A673" s="173"/>
      <c r="B673" s="1"/>
      <c r="C673" s="2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2" x14ac:dyDescent="0.25">
      <c r="A674" s="173"/>
      <c r="B674" s="1"/>
      <c r="C674" s="2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2" x14ac:dyDescent="0.25">
      <c r="A675" s="173"/>
      <c r="B675" s="1"/>
      <c r="C675" s="2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2" x14ac:dyDescent="0.25">
      <c r="A676" s="173"/>
      <c r="B676" s="1"/>
      <c r="C676" s="2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2" x14ac:dyDescent="0.25">
      <c r="A677" s="173"/>
      <c r="B677" s="1"/>
      <c r="C677" s="2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2" x14ac:dyDescent="0.25">
      <c r="A678" s="173"/>
      <c r="B678" s="1"/>
      <c r="C678" s="2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2" x14ac:dyDescent="0.25">
      <c r="A679" s="173"/>
      <c r="B679" s="1"/>
      <c r="C679" s="2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2" x14ac:dyDescent="0.25">
      <c r="A680" s="173"/>
      <c r="B680" s="1"/>
      <c r="C680" s="2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2" x14ac:dyDescent="0.25">
      <c r="A681" s="173"/>
      <c r="B681" s="1"/>
      <c r="C681" s="2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2" x14ac:dyDescent="0.25">
      <c r="A682" s="173"/>
      <c r="B682" s="1"/>
      <c r="C682" s="2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2" x14ac:dyDescent="0.25">
      <c r="A683" s="173"/>
      <c r="B683" s="1"/>
      <c r="C683" s="2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2" x14ac:dyDescent="0.25">
      <c r="A684" s="173"/>
      <c r="B684" s="1"/>
      <c r="C684" s="2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2" x14ac:dyDescent="0.25">
      <c r="A685" s="173"/>
      <c r="B685" s="1"/>
      <c r="C685" s="2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2" x14ac:dyDescent="0.25">
      <c r="A686" s="173"/>
      <c r="B686" s="1"/>
      <c r="C686" s="2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2" x14ac:dyDescent="0.25">
      <c r="A687" s="173"/>
      <c r="B687" s="1"/>
      <c r="C687" s="2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2" x14ac:dyDescent="0.25">
      <c r="A688" s="173"/>
      <c r="B688" s="1"/>
      <c r="C688" s="2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2" x14ac:dyDescent="0.25">
      <c r="A689" s="173"/>
      <c r="B689" s="1"/>
      <c r="C689" s="2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2" x14ac:dyDescent="0.25">
      <c r="A690" s="173"/>
      <c r="B690" s="1"/>
      <c r="C690" s="2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2" x14ac:dyDescent="0.25">
      <c r="A691" s="173"/>
      <c r="B691" s="1"/>
      <c r="C691" s="2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2" x14ac:dyDescent="0.25">
      <c r="A692" s="173"/>
      <c r="B692" s="1"/>
      <c r="C692" s="2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2" x14ac:dyDescent="0.25">
      <c r="A693" s="173"/>
      <c r="B693" s="1"/>
      <c r="C693" s="2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2" x14ac:dyDescent="0.25">
      <c r="A694" s="173"/>
      <c r="B694" s="1"/>
      <c r="C694" s="2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2" x14ac:dyDescent="0.25">
      <c r="A695" s="173"/>
      <c r="B695" s="1"/>
      <c r="C695" s="2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2" x14ac:dyDescent="0.25">
      <c r="A696" s="173"/>
      <c r="B696" s="1"/>
      <c r="C696" s="2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2" x14ac:dyDescent="0.25">
      <c r="A697" s="173"/>
      <c r="B697" s="1"/>
      <c r="C697" s="2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2" x14ac:dyDescent="0.25">
      <c r="A698" s="173"/>
      <c r="B698" s="1"/>
      <c r="C698" s="2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2" x14ac:dyDescent="0.25">
      <c r="A699" s="173"/>
      <c r="B699" s="1"/>
      <c r="C699" s="2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2" x14ac:dyDescent="0.25">
      <c r="A700" s="173"/>
      <c r="B700" s="1"/>
      <c r="C700" s="2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2" x14ac:dyDescent="0.25">
      <c r="A701" s="173"/>
      <c r="B701" s="1"/>
      <c r="C701" s="2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2" x14ac:dyDescent="0.25">
      <c r="A702" s="173"/>
      <c r="B702" s="1"/>
      <c r="C702" s="2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2" x14ac:dyDescent="0.25">
      <c r="A703" s="173"/>
      <c r="B703" s="1"/>
      <c r="C703" s="2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2" x14ac:dyDescent="0.25">
      <c r="A704" s="173"/>
      <c r="B704" s="1"/>
      <c r="C704" s="2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2" x14ac:dyDescent="0.25">
      <c r="A705" s="173"/>
      <c r="B705" s="1"/>
      <c r="C705" s="2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2" x14ac:dyDescent="0.25">
      <c r="A706" s="173"/>
      <c r="B706" s="1"/>
      <c r="C706" s="2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2" x14ac:dyDescent="0.25">
      <c r="A707" s="173"/>
      <c r="B707" s="1"/>
      <c r="C707" s="2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2" x14ac:dyDescent="0.25">
      <c r="A708" s="173"/>
      <c r="B708" s="1"/>
      <c r="C708" s="2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2" x14ac:dyDescent="0.25">
      <c r="A709" s="173"/>
      <c r="B709" s="1"/>
      <c r="C709" s="2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2" x14ac:dyDescent="0.25">
      <c r="A710" s="173"/>
      <c r="B710" s="1"/>
      <c r="C710" s="2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2" x14ac:dyDescent="0.25">
      <c r="A711" s="173"/>
      <c r="B711" s="1"/>
      <c r="C711" s="2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2" x14ac:dyDescent="0.25">
      <c r="A712" s="173"/>
      <c r="B712" s="1"/>
      <c r="C712" s="2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2" x14ac:dyDescent="0.25">
      <c r="A713" s="173"/>
      <c r="B713" s="1"/>
      <c r="C713" s="2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2" x14ac:dyDescent="0.25">
      <c r="A714" s="173"/>
      <c r="B714" s="1"/>
      <c r="C714" s="2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2" x14ac:dyDescent="0.25">
      <c r="A715" s="173"/>
      <c r="B715" s="1"/>
      <c r="C715" s="2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2" x14ac:dyDescent="0.25">
      <c r="A716" s="173"/>
      <c r="B716" s="1"/>
      <c r="C716" s="2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2" x14ac:dyDescent="0.25">
      <c r="A717" s="173"/>
      <c r="B717" s="1"/>
      <c r="C717" s="2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2" x14ac:dyDescent="0.25">
      <c r="A718" s="173"/>
      <c r="B718" s="1"/>
      <c r="C718" s="2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2" x14ac:dyDescent="0.25">
      <c r="A719" s="173"/>
      <c r="B719" s="1"/>
      <c r="C719" s="2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2" x14ac:dyDescent="0.25">
      <c r="A720" s="173"/>
      <c r="B720" s="1"/>
      <c r="C720" s="2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2" x14ac:dyDescent="0.25">
      <c r="A721" s="173"/>
      <c r="B721" s="1"/>
      <c r="C721" s="2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2" x14ac:dyDescent="0.25">
      <c r="A722" s="173"/>
      <c r="B722" s="1"/>
      <c r="C722" s="2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2" x14ac:dyDescent="0.25">
      <c r="A723" s="173"/>
      <c r="B723" s="1"/>
      <c r="C723" s="2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2" x14ac:dyDescent="0.25">
      <c r="A724" s="173"/>
      <c r="B724" s="1"/>
      <c r="C724" s="2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2" x14ac:dyDescent="0.25">
      <c r="A725" s="173"/>
      <c r="B725" s="1"/>
      <c r="C725" s="2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2" x14ac:dyDescent="0.25">
      <c r="A726" s="173"/>
      <c r="B726" s="1"/>
      <c r="C726" s="2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2" x14ac:dyDescent="0.25">
      <c r="A727" s="173"/>
      <c r="B727" s="1"/>
      <c r="C727" s="2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2" x14ac:dyDescent="0.25">
      <c r="A728" s="173"/>
      <c r="B728" s="1"/>
      <c r="C728" s="2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2" x14ac:dyDescent="0.25">
      <c r="A729" s="173"/>
      <c r="B729" s="1"/>
      <c r="C729" s="2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2" x14ac:dyDescent="0.25">
      <c r="A730" s="173"/>
      <c r="B730" s="1"/>
      <c r="C730" s="2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2" x14ac:dyDescent="0.25">
      <c r="A731" s="173"/>
      <c r="B731" s="1"/>
      <c r="C731" s="2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2" x14ac:dyDescent="0.25">
      <c r="A732" s="173"/>
      <c r="B732" s="1"/>
      <c r="C732" s="2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2" x14ac:dyDescent="0.25">
      <c r="A733" s="173"/>
      <c r="B733" s="1"/>
      <c r="C733" s="2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2" x14ac:dyDescent="0.25">
      <c r="A734" s="173"/>
      <c r="B734" s="1"/>
      <c r="C734" s="2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2" x14ac:dyDescent="0.25">
      <c r="A735" s="173"/>
      <c r="B735" s="1"/>
      <c r="C735" s="2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2" x14ac:dyDescent="0.25">
      <c r="A736" s="173"/>
      <c r="B736" s="1"/>
      <c r="C736" s="2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2" x14ac:dyDescent="0.25">
      <c r="A737" s="173"/>
      <c r="B737" s="1"/>
      <c r="C737" s="2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2" x14ac:dyDescent="0.25">
      <c r="A738" s="173"/>
      <c r="B738" s="1"/>
      <c r="C738" s="2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2" x14ac:dyDescent="0.25">
      <c r="A739" s="173"/>
      <c r="B739" s="1"/>
      <c r="C739" s="2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2" x14ac:dyDescent="0.25">
      <c r="A740" s="173"/>
      <c r="B740" s="1"/>
      <c r="C740" s="2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2" x14ac:dyDescent="0.25">
      <c r="A741" s="173"/>
      <c r="B741" s="1"/>
      <c r="C741" s="2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2" x14ac:dyDescent="0.25">
      <c r="A742" s="173"/>
      <c r="B742" s="1"/>
      <c r="C742" s="2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2" x14ac:dyDescent="0.25">
      <c r="A743" s="173"/>
      <c r="B743" s="1"/>
      <c r="C743" s="2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2" x14ac:dyDescent="0.25">
      <c r="A744" s="173"/>
      <c r="B744" s="1"/>
      <c r="C744" s="2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2" x14ac:dyDescent="0.25">
      <c r="A745" s="173"/>
      <c r="B745" s="1"/>
      <c r="C745" s="2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2" x14ac:dyDescent="0.25">
      <c r="A746" s="173"/>
      <c r="B746" s="1"/>
      <c r="C746" s="2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2" x14ac:dyDescent="0.25">
      <c r="A747" s="173"/>
      <c r="B747" s="1"/>
      <c r="C747" s="2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2" x14ac:dyDescent="0.25">
      <c r="A748" s="173"/>
      <c r="B748" s="1"/>
      <c r="C748" s="2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2" x14ac:dyDescent="0.25">
      <c r="A749" s="173"/>
      <c r="B749" s="1"/>
      <c r="C749" s="2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2" x14ac:dyDescent="0.25">
      <c r="A750" s="173"/>
      <c r="B750" s="1"/>
      <c r="C750" s="2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2" x14ac:dyDescent="0.25">
      <c r="A751" s="173"/>
      <c r="B751" s="1"/>
      <c r="C751" s="2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2" x14ac:dyDescent="0.25">
      <c r="A752" s="173"/>
      <c r="B752" s="1"/>
      <c r="C752" s="2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2" x14ac:dyDescent="0.25">
      <c r="A753" s="173"/>
      <c r="B753" s="1"/>
      <c r="C753" s="2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2" x14ac:dyDescent="0.25">
      <c r="A754" s="173"/>
      <c r="B754" s="1"/>
      <c r="C754" s="2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2" x14ac:dyDescent="0.25">
      <c r="A755" s="173"/>
      <c r="B755" s="1"/>
      <c r="C755" s="2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2" x14ac:dyDescent="0.25">
      <c r="A756" s="173"/>
      <c r="B756" s="1"/>
      <c r="C756" s="2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2" x14ac:dyDescent="0.25">
      <c r="A757" s="173"/>
      <c r="B757" s="1"/>
      <c r="C757" s="2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2" x14ac:dyDescent="0.25">
      <c r="A758" s="173"/>
      <c r="B758" s="1"/>
      <c r="C758" s="2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2" x14ac:dyDescent="0.25">
      <c r="A759" s="173"/>
      <c r="B759" s="1"/>
      <c r="C759" s="2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2" x14ac:dyDescent="0.25">
      <c r="A760" s="173"/>
      <c r="B760" s="1"/>
      <c r="C760" s="2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2" x14ac:dyDescent="0.25">
      <c r="A761" s="173"/>
      <c r="B761" s="1"/>
      <c r="C761" s="2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2" x14ac:dyDescent="0.25">
      <c r="A762" s="173"/>
      <c r="B762" s="1"/>
      <c r="C762" s="2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2" x14ac:dyDescent="0.25">
      <c r="A763" s="173"/>
      <c r="B763" s="1"/>
      <c r="C763" s="2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2" x14ac:dyDescent="0.25">
      <c r="A764" s="173"/>
      <c r="B764" s="1"/>
      <c r="C764" s="2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2" x14ac:dyDescent="0.25">
      <c r="A765" s="173"/>
      <c r="B765" s="1"/>
      <c r="C765" s="2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2" x14ac:dyDescent="0.25">
      <c r="A766" s="173"/>
      <c r="B766" s="1"/>
      <c r="C766" s="2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2" x14ac:dyDescent="0.25">
      <c r="A767" s="173"/>
      <c r="B767" s="1"/>
      <c r="C767" s="2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2" x14ac:dyDescent="0.25">
      <c r="A768" s="173"/>
      <c r="B768" s="1"/>
      <c r="C768" s="2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2" x14ac:dyDescent="0.25">
      <c r="A769" s="173"/>
      <c r="B769" s="1"/>
      <c r="C769" s="2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2" x14ac:dyDescent="0.25">
      <c r="A770" s="173"/>
      <c r="B770" s="1"/>
      <c r="C770" s="2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2" x14ac:dyDescent="0.25">
      <c r="A771" s="173"/>
      <c r="B771" s="1"/>
      <c r="C771" s="2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2" x14ac:dyDescent="0.25">
      <c r="A772" s="173"/>
      <c r="B772" s="1"/>
      <c r="C772" s="2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2" x14ac:dyDescent="0.25">
      <c r="A773" s="173"/>
      <c r="B773" s="1"/>
      <c r="C773" s="2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2" x14ac:dyDescent="0.25">
      <c r="A774" s="173"/>
      <c r="B774" s="1"/>
      <c r="C774" s="2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2" x14ac:dyDescent="0.25">
      <c r="A775" s="173"/>
      <c r="B775" s="1"/>
      <c r="C775" s="2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2" x14ac:dyDescent="0.25">
      <c r="A776" s="173"/>
      <c r="B776" s="1"/>
      <c r="C776" s="2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2" x14ac:dyDescent="0.25">
      <c r="A777" s="173"/>
      <c r="B777" s="1"/>
      <c r="C777" s="2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2" x14ac:dyDescent="0.25">
      <c r="A778" s="173"/>
      <c r="B778" s="1"/>
      <c r="C778" s="2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2" x14ac:dyDescent="0.25">
      <c r="A779" s="173"/>
      <c r="B779" s="1"/>
      <c r="C779" s="2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2" x14ac:dyDescent="0.25">
      <c r="A780" s="173"/>
      <c r="B780" s="1"/>
      <c r="C780" s="2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2" x14ac:dyDescent="0.25">
      <c r="A781" s="173"/>
      <c r="B781" s="1"/>
      <c r="C781" s="2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2" x14ac:dyDescent="0.25">
      <c r="A782" s="173"/>
      <c r="B782" s="1"/>
      <c r="C782" s="2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2" x14ac:dyDescent="0.25">
      <c r="A783" s="173"/>
      <c r="B783" s="1"/>
      <c r="C783" s="2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2" x14ac:dyDescent="0.25">
      <c r="A784" s="173"/>
      <c r="B784" s="1"/>
      <c r="C784" s="2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2" x14ac:dyDescent="0.25">
      <c r="A785" s="173"/>
      <c r="B785" s="1"/>
      <c r="C785" s="2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2" x14ac:dyDescent="0.25">
      <c r="A786" s="173"/>
      <c r="B786" s="1"/>
      <c r="C786" s="2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2" x14ac:dyDescent="0.25">
      <c r="A787" s="173"/>
      <c r="B787" s="1"/>
      <c r="C787" s="2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2" x14ac:dyDescent="0.25">
      <c r="A788" s="173"/>
      <c r="B788" s="1"/>
      <c r="C788" s="2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2" x14ac:dyDescent="0.25">
      <c r="A789" s="173"/>
      <c r="B789" s="1"/>
      <c r="C789" s="2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2" x14ac:dyDescent="0.25">
      <c r="A790" s="173"/>
      <c r="B790" s="1"/>
      <c r="C790" s="2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2" x14ac:dyDescent="0.25">
      <c r="A791" s="173"/>
      <c r="B791" s="1"/>
      <c r="C791" s="2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2" x14ac:dyDescent="0.25">
      <c r="A792" s="173"/>
      <c r="B792" s="1"/>
      <c r="C792" s="2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2" x14ac:dyDescent="0.25">
      <c r="A793" s="173"/>
      <c r="B793" s="1"/>
      <c r="C793" s="2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2" x14ac:dyDescent="0.25">
      <c r="A794" s="173"/>
      <c r="B794" s="1"/>
      <c r="C794" s="2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2" x14ac:dyDescent="0.25">
      <c r="A795" s="173"/>
      <c r="B795" s="1"/>
      <c r="C795" s="2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2" x14ac:dyDescent="0.25">
      <c r="A796" s="173"/>
      <c r="B796" s="1"/>
      <c r="C796" s="2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2" x14ac:dyDescent="0.25">
      <c r="A797" s="173"/>
      <c r="B797" s="1"/>
      <c r="C797" s="2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2" x14ac:dyDescent="0.25">
      <c r="A798" s="173"/>
      <c r="B798" s="1"/>
      <c r="C798" s="2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2" x14ac:dyDescent="0.25">
      <c r="A799" s="173"/>
      <c r="B799" s="1"/>
      <c r="C799" s="2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2" x14ac:dyDescent="0.25">
      <c r="A800" s="173"/>
      <c r="B800" s="1"/>
      <c r="C800" s="2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2" x14ac:dyDescent="0.25">
      <c r="A801" s="173"/>
      <c r="B801" s="1"/>
      <c r="C801" s="2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2" x14ac:dyDescent="0.25">
      <c r="A802" s="173"/>
      <c r="B802" s="1"/>
      <c r="C802" s="2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2" x14ac:dyDescent="0.25">
      <c r="A803" s="173"/>
      <c r="B803" s="1"/>
      <c r="C803" s="2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2" x14ac:dyDescent="0.25">
      <c r="A804" s="173"/>
      <c r="B804" s="1"/>
      <c r="C804" s="2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2" x14ac:dyDescent="0.25">
      <c r="A805" s="173"/>
      <c r="B805" s="1"/>
      <c r="C805" s="2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2" x14ac:dyDescent="0.25">
      <c r="A806" s="173"/>
      <c r="B806" s="1"/>
      <c r="C806" s="2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2" x14ac:dyDescent="0.25">
      <c r="A807" s="173"/>
      <c r="B807" s="1"/>
      <c r="C807" s="2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2" x14ac:dyDescent="0.25">
      <c r="A808" s="173"/>
      <c r="B808" s="1"/>
      <c r="C808" s="2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2" x14ac:dyDescent="0.25">
      <c r="A809" s="173"/>
      <c r="B809" s="1"/>
      <c r="C809" s="2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2" x14ac:dyDescent="0.25">
      <c r="A810" s="173"/>
      <c r="B810" s="1"/>
      <c r="C810" s="2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2" x14ac:dyDescent="0.25">
      <c r="A811" s="173"/>
      <c r="B811" s="1"/>
      <c r="C811" s="2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2" x14ac:dyDescent="0.25">
      <c r="A812" s="173"/>
      <c r="B812" s="1"/>
      <c r="C812" s="2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2" x14ac:dyDescent="0.25">
      <c r="A813" s="173"/>
      <c r="B813" s="1"/>
      <c r="C813" s="2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2" x14ac:dyDescent="0.25">
      <c r="A814" s="173"/>
      <c r="B814" s="1"/>
      <c r="C814" s="2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2" x14ac:dyDescent="0.25">
      <c r="A815" s="173"/>
      <c r="B815" s="1"/>
      <c r="C815" s="2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2" x14ac:dyDescent="0.25">
      <c r="A816" s="173"/>
      <c r="B816" s="1"/>
      <c r="C816" s="2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2" x14ac:dyDescent="0.25">
      <c r="A817" s="173"/>
      <c r="B817" s="1"/>
      <c r="C817" s="2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2" x14ac:dyDescent="0.25">
      <c r="A818" s="173"/>
      <c r="B818" s="1"/>
      <c r="C818" s="2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2" x14ac:dyDescent="0.25">
      <c r="A819" s="173"/>
      <c r="B819" s="1"/>
      <c r="C819" s="2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2" x14ac:dyDescent="0.25">
      <c r="A820" s="173"/>
      <c r="B820" s="1"/>
      <c r="C820" s="2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2" x14ac:dyDescent="0.25">
      <c r="A821" s="173"/>
      <c r="B821" s="1"/>
      <c r="C821" s="2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2" x14ac:dyDescent="0.25">
      <c r="A822" s="173"/>
      <c r="B822" s="1"/>
      <c r="C822" s="2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2" x14ac:dyDescent="0.25">
      <c r="A823" s="173"/>
      <c r="B823" s="1"/>
      <c r="C823" s="2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2" x14ac:dyDescent="0.25">
      <c r="A824" s="173"/>
      <c r="B824" s="1"/>
      <c r="C824" s="2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2" x14ac:dyDescent="0.25">
      <c r="A825" s="173"/>
      <c r="B825" s="1"/>
      <c r="C825" s="2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2" x14ac:dyDescent="0.25">
      <c r="A826" s="173"/>
      <c r="B826" s="1"/>
      <c r="C826" s="2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2" x14ac:dyDescent="0.25">
      <c r="A827" s="173"/>
      <c r="B827" s="1"/>
      <c r="C827" s="2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2" x14ac:dyDescent="0.25">
      <c r="A828" s="173"/>
      <c r="B828" s="1"/>
      <c r="C828" s="2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2" x14ac:dyDescent="0.25">
      <c r="A829" s="173"/>
      <c r="B829" s="1"/>
      <c r="C829" s="2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2" x14ac:dyDescent="0.25">
      <c r="A830" s="173"/>
      <c r="B830" s="1"/>
      <c r="C830" s="2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2" x14ac:dyDescent="0.25">
      <c r="A831" s="173"/>
      <c r="B831" s="1"/>
      <c r="C831" s="2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2" x14ac:dyDescent="0.25">
      <c r="A832" s="173"/>
      <c r="B832" s="1"/>
      <c r="C832" s="2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2" x14ac:dyDescent="0.25">
      <c r="A833" s="173"/>
      <c r="B833" s="1"/>
      <c r="C833" s="2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2" x14ac:dyDescent="0.25">
      <c r="A834" s="173"/>
      <c r="B834" s="1"/>
      <c r="C834" s="2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2" x14ac:dyDescent="0.25">
      <c r="A835" s="173"/>
      <c r="B835" s="1"/>
      <c r="C835" s="2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2" x14ac:dyDescent="0.25">
      <c r="A836" s="173"/>
      <c r="B836" s="1"/>
      <c r="C836" s="2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2" x14ac:dyDescent="0.25">
      <c r="A837" s="173"/>
      <c r="B837" s="1"/>
      <c r="C837" s="2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2" x14ac:dyDescent="0.25">
      <c r="A838" s="173"/>
      <c r="B838" s="1"/>
      <c r="C838" s="2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2" x14ac:dyDescent="0.25">
      <c r="A839" s="173"/>
      <c r="B839" s="1"/>
      <c r="C839" s="2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2" x14ac:dyDescent="0.25">
      <c r="A840" s="173"/>
      <c r="B840" s="1"/>
      <c r="C840" s="2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2" x14ac:dyDescent="0.25">
      <c r="A841" s="173"/>
      <c r="B841" s="1"/>
      <c r="C841" s="2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2" x14ac:dyDescent="0.25">
      <c r="A842" s="173"/>
      <c r="B842" s="1"/>
      <c r="C842" s="2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2" x14ac:dyDescent="0.25">
      <c r="A843" s="173"/>
      <c r="B843" s="1"/>
      <c r="C843" s="2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2" x14ac:dyDescent="0.25">
      <c r="A844" s="173"/>
      <c r="B844" s="1"/>
      <c r="C844" s="2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2" x14ac:dyDescent="0.25">
      <c r="A845" s="173"/>
      <c r="B845" s="1"/>
      <c r="C845" s="2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2" x14ac:dyDescent="0.25">
      <c r="A846" s="173"/>
      <c r="B846" s="1"/>
      <c r="C846" s="2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2" x14ac:dyDescent="0.25">
      <c r="A847" s="173"/>
      <c r="B847" s="1"/>
      <c r="C847" s="2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2" x14ac:dyDescent="0.25">
      <c r="A848" s="173"/>
      <c r="B848" s="1"/>
      <c r="C848" s="2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2" x14ac:dyDescent="0.25">
      <c r="A849" s="173"/>
      <c r="B849" s="1"/>
      <c r="C849" s="2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2" x14ac:dyDescent="0.25">
      <c r="A850" s="173"/>
      <c r="B850" s="1"/>
      <c r="C850" s="2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2" x14ac:dyDescent="0.25">
      <c r="A851" s="173"/>
      <c r="B851" s="1"/>
      <c r="C851" s="2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2" x14ac:dyDescent="0.25">
      <c r="A852" s="173"/>
      <c r="B852" s="1"/>
      <c r="C852" s="2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2" x14ac:dyDescent="0.25">
      <c r="A853" s="173"/>
      <c r="B853" s="1"/>
      <c r="C853" s="2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2" x14ac:dyDescent="0.25">
      <c r="A854" s="173"/>
      <c r="B854" s="1"/>
      <c r="C854" s="2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2" x14ac:dyDescent="0.25">
      <c r="A855" s="173"/>
      <c r="B855" s="1"/>
      <c r="C855" s="2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2" x14ac:dyDescent="0.25">
      <c r="A856" s="173"/>
      <c r="B856" s="1"/>
      <c r="C856" s="2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2" x14ac:dyDescent="0.25">
      <c r="A857" s="173"/>
      <c r="B857" s="1"/>
      <c r="C857" s="2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2" x14ac:dyDescent="0.25">
      <c r="A858" s="173"/>
      <c r="B858" s="1"/>
      <c r="C858" s="2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2" x14ac:dyDescent="0.25">
      <c r="A859" s="173"/>
      <c r="B859" s="1"/>
      <c r="C859" s="2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2" x14ac:dyDescent="0.25">
      <c r="A860" s="173"/>
      <c r="B860" s="1"/>
      <c r="C860" s="2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2" x14ac:dyDescent="0.25">
      <c r="A861" s="173"/>
      <c r="B861" s="1"/>
      <c r="C861" s="2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2" x14ac:dyDescent="0.25">
      <c r="A862" s="173"/>
      <c r="B862" s="1"/>
      <c r="C862" s="2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2" x14ac:dyDescent="0.25">
      <c r="A863" s="173"/>
      <c r="B863" s="1"/>
      <c r="C863" s="2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2" x14ac:dyDescent="0.25">
      <c r="A864" s="173"/>
      <c r="B864" s="1"/>
      <c r="C864" s="2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2" x14ac:dyDescent="0.25">
      <c r="A865" s="173"/>
      <c r="B865" s="1"/>
      <c r="C865" s="2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2" x14ac:dyDescent="0.25">
      <c r="A866" s="173"/>
      <c r="B866" s="1"/>
      <c r="C866" s="2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2" x14ac:dyDescent="0.25">
      <c r="A867" s="173"/>
      <c r="B867" s="1"/>
      <c r="C867" s="2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2" x14ac:dyDescent="0.25">
      <c r="A868" s="173"/>
      <c r="B868" s="1"/>
      <c r="C868" s="2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2" x14ac:dyDescent="0.25">
      <c r="A869" s="173"/>
      <c r="B869" s="1"/>
      <c r="C869" s="2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2" x14ac:dyDescent="0.25">
      <c r="A870" s="173"/>
      <c r="B870" s="1"/>
      <c r="C870" s="2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2" x14ac:dyDescent="0.25">
      <c r="A871" s="173"/>
      <c r="B871" s="1"/>
      <c r="C871" s="2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2" x14ac:dyDescent="0.25">
      <c r="A872" s="173"/>
      <c r="B872" s="1"/>
      <c r="C872" s="2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2" x14ac:dyDescent="0.25">
      <c r="A873" s="173"/>
      <c r="B873" s="1"/>
      <c r="C873" s="2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2" x14ac:dyDescent="0.25">
      <c r="A874" s="173"/>
      <c r="B874" s="1"/>
      <c r="C874" s="2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2" x14ac:dyDescent="0.25">
      <c r="A875" s="173"/>
      <c r="B875" s="1"/>
      <c r="C875" s="2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2" x14ac:dyDescent="0.25">
      <c r="A876" s="173"/>
      <c r="B876" s="1"/>
      <c r="C876" s="2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2" x14ac:dyDescent="0.25">
      <c r="A877" s="173"/>
      <c r="B877" s="1"/>
      <c r="C877" s="2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2" x14ac:dyDescent="0.25">
      <c r="A878" s="173"/>
      <c r="B878" s="1"/>
      <c r="C878" s="2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2" x14ac:dyDescent="0.25">
      <c r="A879" s="173"/>
      <c r="B879" s="1"/>
      <c r="C879" s="2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2" x14ac:dyDescent="0.25">
      <c r="A880" s="173"/>
      <c r="B880" s="1"/>
      <c r="C880" s="2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2" x14ac:dyDescent="0.25">
      <c r="A881" s="173"/>
      <c r="B881" s="1"/>
      <c r="C881" s="2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2" x14ac:dyDescent="0.25">
      <c r="A882" s="173"/>
      <c r="B882" s="1"/>
      <c r="C882" s="2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2" x14ac:dyDescent="0.25">
      <c r="A883" s="173"/>
      <c r="B883" s="1"/>
      <c r="C883" s="2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2" x14ac:dyDescent="0.25">
      <c r="A884" s="173"/>
      <c r="B884" s="1"/>
      <c r="C884" s="2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2" x14ac:dyDescent="0.25">
      <c r="A885" s="173"/>
      <c r="B885" s="1"/>
      <c r="C885" s="2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2" x14ac:dyDescent="0.25">
      <c r="A886" s="173"/>
      <c r="B886" s="1"/>
      <c r="C886" s="2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2" x14ac:dyDescent="0.25">
      <c r="A887" s="173"/>
      <c r="B887" s="1"/>
      <c r="C887" s="2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2" x14ac:dyDescent="0.25">
      <c r="A888" s="173"/>
      <c r="B888" s="1"/>
      <c r="C888" s="2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2" x14ac:dyDescent="0.25">
      <c r="A889" s="173"/>
      <c r="B889" s="1"/>
      <c r="C889" s="2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2" x14ac:dyDescent="0.25">
      <c r="A890" s="173"/>
      <c r="B890" s="1"/>
      <c r="C890" s="2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2" x14ac:dyDescent="0.25">
      <c r="A891" s="173"/>
      <c r="B891" s="1"/>
      <c r="C891" s="2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2" x14ac:dyDescent="0.25">
      <c r="A892" s="173"/>
      <c r="B892" s="1"/>
      <c r="C892" s="2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2" x14ac:dyDescent="0.25">
      <c r="A893" s="173"/>
      <c r="B893" s="1"/>
      <c r="C893" s="2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2" x14ac:dyDescent="0.25">
      <c r="A894" s="173"/>
      <c r="B894" s="1"/>
      <c r="C894" s="2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2" x14ac:dyDescent="0.25">
      <c r="A895" s="173"/>
      <c r="B895" s="1"/>
      <c r="C895" s="2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2" x14ac:dyDescent="0.25">
      <c r="A896" s="173"/>
      <c r="B896" s="1"/>
      <c r="C896" s="2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2" x14ac:dyDescent="0.25">
      <c r="A897" s="173"/>
      <c r="B897" s="1"/>
      <c r="C897" s="2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2" x14ac:dyDescent="0.25">
      <c r="A898" s="173"/>
      <c r="B898" s="1"/>
      <c r="C898" s="2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2" x14ac:dyDescent="0.25">
      <c r="A899" s="173"/>
      <c r="B899" s="1"/>
      <c r="C899" s="2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2" x14ac:dyDescent="0.25">
      <c r="A900" s="173"/>
      <c r="B900" s="1"/>
      <c r="C900" s="2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2" x14ac:dyDescent="0.25">
      <c r="A901" s="173"/>
      <c r="B901" s="1"/>
      <c r="C901" s="2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2" x14ac:dyDescent="0.25">
      <c r="A902" s="173"/>
      <c r="B902" s="1"/>
      <c r="C902" s="2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2" x14ac:dyDescent="0.25">
      <c r="A903" s="173"/>
      <c r="B903" s="1"/>
      <c r="C903" s="2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2" x14ac:dyDescent="0.25">
      <c r="A904" s="173"/>
      <c r="B904" s="1"/>
      <c r="C904" s="2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2" x14ac:dyDescent="0.25">
      <c r="A905" s="173"/>
      <c r="B905" s="1"/>
      <c r="C905" s="2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2" x14ac:dyDescent="0.25">
      <c r="A906" s="173"/>
      <c r="B906" s="1"/>
      <c r="C906" s="2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2" x14ac:dyDescent="0.25">
      <c r="A907" s="173"/>
      <c r="B907" s="1"/>
      <c r="C907" s="2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2" x14ac:dyDescent="0.25">
      <c r="A908" s="173"/>
      <c r="B908" s="1"/>
      <c r="C908" s="2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2" x14ac:dyDescent="0.25">
      <c r="A909" s="173"/>
      <c r="B909" s="1"/>
      <c r="C909" s="2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2" x14ac:dyDescent="0.25">
      <c r="A910" s="173"/>
      <c r="B910" s="1"/>
      <c r="C910" s="2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2" x14ac:dyDescent="0.25">
      <c r="A911" s="173"/>
      <c r="B911" s="1"/>
      <c r="C911" s="2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2" x14ac:dyDescent="0.25">
      <c r="A912" s="173"/>
      <c r="B912" s="1"/>
      <c r="C912" s="2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2" x14ac:dyDescent="0.25">
      <c r="A913" s="173"/>
      <c r="B913" s="1"/>
      <c r="C913" s="2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2" x14ac:dyDescent="0.25">
      <c r="A914" s="173"/>
      <c r="B914" s="1"/>
      <c r="C914" s="2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2" x14ac:dyDescent="0.25">
      <c r="A915" s="173"/>
      <c r="B915" s="1"/>
      <c r="C915" s="2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2" x14ac:dyDescent="0.25">
      <c r="A916" s="173"/>
      <c r="B916" s="1"/>
      <c r="C916" s="2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2" x14ac:dyDescent="0.25">
      <c r="A917" s="173"/>
      <c r="B917" s="1"/>
      <c r="C917" s="2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2" x14ac:dyDescent="0.25">
      <c r="A918" s="173"/>
      <c r="B918" s="1"/>
      <c r="C918" s="2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2" x14ac:dyDescent="0.25">
      <c r="A919" s="173"/>
      <c r="B919" s="1"/>
      <c r="C919" s="2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2" x14ac:dyDescent="0.25">
      <c r="A920" s="173"/>
      <c r="B920" s="1"/>
      <c r="C920" s="2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2" x14ac:dyDescent="0.25">
      <c r="A921" s="173"/>
      <c r="B921" s="1"/>
      <c r="C921" s="2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2" x14ac:dyDescent="0.25">
      <c r="A922" s="173"/>
      <c r="B922" s="1"/>
      <c r="C922" s="2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2" x14ac:dyDescent="0.25">
      <c r="A923" s="173"/>
      <c r="B923" s="1"/>
      <c r="C923" s="2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2" x14ac:dyDescent="0.25">
      <c r="A924" s="173"/>
      <c r="B924" s="1"/>
      <c r="C924" s="2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2" x14ac:dyDescent="0.25">
      <c r="A925" s="173"/>
      <c r="B925" s="1"/>
      <c r="C925" s="2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2" x14ac:dyDescent="0.25">
      <c r="A926" s="173"/>
      <c r="B926" s="1"/>
      <c r="C926" s="2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2" x14ac:dyDescent="0.25">
      <c r="A927" s="173"/>
      <c r="B927" s="1"/>
      <c r="C927" s="2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2" x14ac:dyDescent="0.25">
      <c r="A928" s="173"/>
      <c r="B928" s="1"/>
      <c r="C928" s="2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2" x14ac:dyDescent="0.25">
      <c r="A929" s="173"/>
      <c r="B929" s="1"/>
      <c r="C929" s="2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2" x14ac:dyDescent="0.25">
      <c r="A930" s="173"/>
      <c r="B930" s="1"/>
      <c r="C930" s="2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2" x14ac:dyDescent="0.25">
      <c r="A931" s="173"/>
      <c r="B931" s="1"/>
      <c r="C931" s="2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2" x14ac:dyDescent="0.25">
      <c r="A932" s="173"/>
      <c r="B932" s="1"/>
      <c r="C932" s="2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2" x14ac:dyDescent="0.25">
      <c r="A933" s="173"/>
      <c r="B933" s="1"/>
      <c r="C933" s="2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2" x14ac:dyDescent="0.25">
      <c r="A934" s="173"/>
      <c r="B934" s="1"/>
      <c r="C934" s="2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2" x14ac:dyDescent="0.25">
      <c r="A935" s="173"/>
      <c r="B935" s="1"/>
      <c r="C935" s="2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2" x14ac:dyDescent="0.25">
      <c r="A936" s="173"/>
      <c r="B936" s="1"/>
      <c r="C936" s="2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2" x14ac:dyDescent="0.25">
      <c r="A937" s="173"/>
      <c r="B937" s="1"/>
      <c r="C937" s="2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2" x14ac:dyDescent="0.25">
      <c r="A938" s="173"/>
      <c r="B938" s="1"/>
      <c r="C938" s="2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2" x14ac:dyDescent="0.25">
      <c r="A939" s="173"/>
      <c r="B939" s="1"/>
      <c r="C939" s="2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2" x14ac:dyDescent="0.25">
      <c r="A940" s="173"/>
      <c r="B940" s="1"/>
      <c r="C940" s="2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2" x14ac:dyDescent="0.25">
      <c r="A941" s="173"/>
      <c r="B941" s="1"/>
      <c r="C941" s="2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2" x14ac:dyDescent="0.25">
      <c r="A942" s="173"/>
      <c r="B942" s="1"/>
      <c r="C942" s="2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2" x14ac:dyDescent="0.25">
      <c r="A943" s="173"/>
      <c r="B943" s="1"/>
      <c r="C943" s="2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2" x14ac:dyDescent="0.25">
      <c r="A944" s="173"/>
      <c r="B944" s="1"/>
      <c r="C944" s="2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2" x14ac:dyDescent="0.25">
      <c r="A945" s="173"/>
      <c r="B945" s="1"/>
      <c r="C945" s="2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2" x14ac:dyDescent="0.25">
      <c r="A946" s="173"/>
      <c r="B946" s="1"/>
      <c r="C946" s="2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2" x14ac:dyDescent="0.25">
      <c r="A947" s="173"/>
      <c r="B947" s="1"/>
      <c r="C947" s="2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2" x14ac:dyDescent="0.25">
      <c r="A948" s="173"/>
      <c r="B948" s="1"/>
      <c r="C948" s="2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2" x14ac:dyDescent="0.25">
      <c r="A949" s="173"/>
      <c r="B949" s="1"/>
      <c r="C949" s="2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2" x14ac:dyDescent="0.25">
      <c r="A950" s="173"/>
      <c r="B950" s="1"/>
      <c r="C950" s="2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2" x14ac:dyDescent="0.25">
      <c r="A951" s="173"/>
      <c r="B951" s="1"/>
      <c r="C951" s="2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2" x14ac:dyDescent="0.25">
      <c r="A952" s="173"/>
      <c r="B952" s="1"/>
      <c r="C952" s="2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2" x14ac:dyDescent="0.25">
      <c r="A953" s="173"/>
      <c r="B953" s="1"/>
      <c r="C953" s="2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2" x14ac:dyDescent="0.25">
      <c r="A954" s="173"/>
      <c r="B954" s="1"/>
      <c r="C954" s="2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2" x14ac:dyDescent="0.25">
      <c r="A955" s="173"/>
      <c r="B955" s="1"/>
      <c r="C955" s="2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2" x14ac:dyDescent="0.25">
      <c r="A956" s="173"/>
      <c r="B956" s="1"/>
      <c r="C956" s="2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2" x14ac:dyDescent="0.25">
      <c r="A957" s="173"/>
      <c r="B957" s="1"/>
      <c r="C957" s="2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2" x14ac:dyDescent="0.25">
      <c r="A958" s="173"/>
      <c r="B958" s="1"/>
      <c r="C958" s="2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2" x14ac:dyDescent="0.25">
      <c r="A959" s="173"/>
      <c r="B959" s="1"/>
      <c r="C959" s="2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2" x14ac:dyDescent="0.25">
      <c r="A960" s="173"/>
      <c r="B960" s="1"/>
      <c r="C960" s="2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2" x14ac:dyDescent="0.25">
      <c r="A961" s="173"/>
      <c r="B961" s="1"/>
      <c r="C961" s="2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2" x14ac:dyDescent="0.25">
      <c r="A962" s="173"/>
      <c r="B962" s="1"/>
      <c r="C962" s="2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2" x14ac:dyDescent="0.25">
      <c r="A963" s="173"/>
      <c r="B963" s="1"/>
      <c r="C963" s="2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2" x14ac:dyDescent="0.25">
      <c r="A964" s="173"/>
      <c r="B964" s="1"/>
      <c r="C964" s="2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2" x14ac:dyDescent="0.25">
      <c r="A965" s="173"/>
      <c r="B965" s="1"/>
      <c r="C965" s="2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2" x14ac:dyDescent="0.25">
      <c r="A966" s="173"/>
      <c r="B966" s="1"/>
      <c r="C966" s="2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2" x14ac:dyDescent="0.25">
      <c r="A967" s="173"/>
      <c r="B967" s="1"/>
      <c r="C967" s="2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2" x14ac:dyDescent="0.25">
      <c r="A968" s="173"/>
      <c r="B968" s="1"/>
      <c r="C968" s="2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2" x14ac:dyDescent="0.25">
      <c r="A969" s="173"/>
      <c r="B969" s="1"/>
      <c r="C969" s="2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2" x14ac:dyDescent="0.25">
      <c r="A970" s="173"/>
      <c r="B970" s="1"/>
      <c r="C970" s="2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2" x14ac:dyDescent="0.25">
      <c r="A971" s="173"/>
      <c r="B971" s="1"/>
      <c r="C971" s="2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2" x14ac:dyDescent="0.25">
      <c r="A972" s="173"/>
      <c r="B972" s="1"/>
      <c r="C972" s="2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2" x14ac:dyDescent="0.25">
      <c r="A973" s="173"/>
      <c r="B973" s="1"/>
      <c r="C973" s="2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2" x14ac:dyDescent="0.25">
      <c r="A974" s="173"/>
      <c r="B974" s="1"/>
      <c r="C974" s="2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2" x14ac:dyDescent="0.25">
      <c r="A975" s="173"/>
      <c r="B975" s="1"/>
      <c r="C975" s="2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2" x14ac:dyDescent="0.25">
      <c r="A976" s="173"/>
      <c r="B976" s="1"/>
      <c r="C976" s="2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2" x14ac:dyDescent="0.25">
      <c r="A977" s="173"/>
      <c r="B977" s="1"/>
      <c r="C977" s="2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2" x14ac:dyDescent="0.25">
      <c r="A978" s="173"/>
      <c r="B978" s="1"/>
      <c r="C978" s="2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2" x14ac:dyDescent="0.25">
      <c r="A979" s="173"/>
      <c r="B979" s="1"/>
      <c r="C979" s="2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2" x14ac:dyDescent="0.25">
      <c r="A980" s="173"/>
      <c r="B980" s="1"/>
      <c r="C980" s="2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2" x14ac:dyDescent="0.25">
      <c r="A981" s="173"/>
      <c r="B981" s="1"/>
      <c r="C981" s="2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2" x14ac:dyDescent="0.25">
      <c r="A982" s="173"/>
      <c r="B982" s="1"/>
      <c r="C982" s="2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2" x14ac:dyDescent="0.25">
      <c r="A983" s="173"/>
      <c r="B983" s="1"/>
      <c r="C983" s="2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2" x14ac:dyDescent="0.25">
      <c r="A984" s="173"/>
      <c r="B984" s="1"/>
      <c r="C984" s="2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2" x14ac:dyDescent="0.25">
      <c r="A985" s="173"/>
      <c r="B985" s="1"/>
      <c r="C985" s="2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2" x14ac:dyDescent="0.25">
      <c r="A986" s="173"/>
      <c r="B986" s="1"/>
      <c r="C986" s="2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2" x14ac:dyDescent="0.25">
      <c r="A987" s="173"/>
      <c r="B987" s="1"/>
      <c r="C987" s="2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2" x14ac:dyDescent="0.25">
      <c r="A988" s="173"/>
      <c r="B988" s="1"/>
      <c r="C988" s="2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2" x14ac:dyDescent="0.25">
      <c r="A989" s="173"/>
      <c r="B989" s="1"/>
      <c r="C989" s="2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2" x14ac:dyDescent="0.25">
      <c r="A990" s="173"/>
      <c r="B990" s="1"/>
      <c r="C990" s="2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2" x14ac:dyDescent="0.25">
      <c r="A991" s="173"/>
      <c r="B991" s="1"/>
      <c r="C991" s="2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2" x14ac:dyDescent="0.25">
      <c r="A992" s="173"/>
      <c r="B992" s="1"/>
      <c r="C992" s="2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2" x14ac:dyDescent="0.25">
      <c r="A993" s="173"/>
      <c r="B993" s="1"/>
      <c r="C993" s="2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2" x14ac:dyDescent="0.25">
      <c r="A994" s="173"/>
      <c r="B994" s="1"/>
      <c r="C994" s="2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.2" x14ac:dyDescent="0.25">
      <c r="A995" s="173"/>
      <c r="B995" s="1"/>
      <c r="C995" s="2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.2" x14ac:dyDescent="0.25">
      <c r="A996" s="173"/>
      <c r="B996" s="1"/>
      <c r="C996" s="2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.2" x14ac:dyDescent="0.25">
      <c r="A997" s="173"/>
      <c r="B997" s="1"/>
      <c r="C997" s="2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.2" x14ac:dyDescent="0.25">
      <c r="A998" s="173"/>
      <c r="B998" s="1"/>
      <c r="C998" s="2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.2" x14ac:dyDescent="0.25">
      <c r="A999" s="173"/>
      <c r="B999" s="1"/>
      <c r="C999" s="2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.2" x14ac:dyDescent="0.25">
      <c r="A1000" s="173"/>
      <c r="B1000" s="1"/>
      <c r="C1000" s="2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3.2" x14ac:dyDescent="0.25">
      <c r="A1001" s="173"/>
      <c r="B1001" s="1"/>
      <c r="C1001" s="2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3.2" x14ac:dyDescent="0.25">
      <c r="A1002" s="173"/>
      <c r="B1002" s="1"/>
      <c r="C1002" s="2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 ht="13.2" x14ac:dyDescent="0.25">
      <c r="A1003" s="173"/>
      <c r="B1003" s="1"/>
      <c r="C1003" s="2"/>
      <c r="D1003" s="2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 ht="13.2" x14ac:dyDescent="0.25">
      <c r="A1004" s="173"/>
      <c r="B1004" s="1"/>
      <c r="C1004" s="2"/>
      <c r="D1004" s="2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spans="1:25" ht="13.2" x14ac:dyDescent="0.25">
      <c r="A1005" s="173"/>
      <c r="B1005" s="1"/>
      <c r="C1005" s="2"/>
      <c r="D1005" s="2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spans="1:25" ht="13.2" x14ac:dyDescent="0.25">
      <c r="A1006" s="173"/>
      <c r="B1006" s="1"/>
      <c r="C1006" s="2"/>
      <c r="D1006" s="2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spans="1:25" ht="13.2" x14ac:dyDescent="0.25">
      <c r="A1007" s="173"/>
      <c r="B1007" s="1"/>
      <c r="C1007" s="2"/>
      <c r="D1007" s="2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 spans="1:25" ht="13.2" x14ac:dyDescent="0.25">
      <c r="A1008" s="173"/>
      <c r="B1008" s="1"/>
      <c r="C1008" s="2"/>
      <c r="D1008" s="2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 spans="1:25" ht="13.2" x14ac:dyDescent="0.25">
      <c r="A1009" s="173"/>
      <c r="B1009" s="1"/>
      <c r="C1009" s="2"/>
      <c r="D1009" s="2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 spans="1:25" ht="13.2" x14ac:dyDescent="0.25">
      <c r="A1010" s="173"/>
      <c r="B1010" s="1"/>
      <c r="C1010" s="2"/>
      <c r="D1010" s="2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  <row r="1011" spans="1:25" ht="13.2" x14ac:dyDescent="0.25">
      <c r="A1011" s="173"/>
      <c r="B1011" s="1"/>
      <c r="C1011" s="2"/>
      <c r="D1011" s="2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</row>
    <row r="1012" spans="1:25" ht="13.2" x14ac:dyDescent="0.25">
      <c r="A1012" s="173"/>
      <c r="B1012" s="1"/>
      <c r="C1012" s="2"/>
      <c r="D1012" s="2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</row>
    <row r="1013" spans="1:25" ht="13.2" x14ac:dyDescent="0.25">
      <c r="A1013" s="173"/>
      <c r="B1013" s="1"/>
      <c r="C1013" s="2"/>
      <c r="D1013" s="2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</row>
    <row r="1014" spans="1:25" ht="13.2" x14ac:dyDescent="0.25">
      <c r="A1014" s="173"/>
      <c r="B1014" s="1"/>
      <c r="C1014" s="2"/>
      <c r="D1014" s="2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</row>
    <row r="1015" spans="1:25" ht="13.2" x14ac:dyDescent="0.25">
      <c r="A1015" s="179"/>
      <c r="C1015" s="138"/>
      <c r="D1015" s="138"/>
    </row>
    <row r="1016" spans="1:25" ht="13.2" x14ac:dyDescent="0.25">
      <c r="A1016" s="179"/>
      <c r="C1016" s="138"/>
      <c r="D1016" s="138"/>
    </row>
    <row r="1017" spans="1:25" ht="13.2" x14ac:dyDescent="0.25">
      <c r="A1017" s="179"/>
      <c r="C1017" s="138"/>
      <c r="D1017" s="138"/>
    </row>
    <row r="1018" spans="1:25" ht="13.2" x14ac:dyDescent="0.25">
      <c r="A1018" s="179"/>
      <c r="C1018" s="138"/>
      <c r="D1018" s="138"/>
    </row>
    <row r="1019" spans="1:25" ht="13.2" x14ac:dyDescent="0.25">
      <c r="A1019" s="179"/>
      <c r="C1019" s="138"/>
      <c r="D1019" s="138"/>
    </row>
    <row r="1020" spans="1:25" ht="13.2" x14ac:dyDescent="0.25">
      <c r="A1020" s="179"/>
      <c r="C1020" s="138"/>
      <c r="D1020" s="138"/>
    </row>
    <row r="1021" spans="1:25" ht="13.2" x14ac:dyDescent="0.25">
      <c r="A1021" s="179"/>
      <c r="C1021" s="138"/>
      <c r="D1021" s="138"/>
    </row>
  </sheetData>
  <mergeCells count="11">
    <mergeCell ref="D6:D7"/>
    <mergeCell ref="E6:E7"/>
    <mergeCell ref="F6:I6"/>
    <mergeCell ref="J6:N6"/>
    <mergeCell ref="C1:E1"/>
    <mergeCell ref="L1:N2"/>
    <mergeCell ref="C2:D2"/>
    <mergeCell ref="A4:N4"/>
    <mergeCell ref="A6:A7"/>
    <mergeCell ref="B6:B7"/>
    <mergeCell ref="C6:C7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996"/>
  <sheetViews>
    <sheetView tabSelected="1" topLeftCell="A144" workbookViewId="0">
      <selection activeCell="B20" sqref="B20"/>
    </sheetView>
  </sheetViews>
  <sheetFormatPr defaultColWidth="12.6640625" defaultRowHeight="15.75" customHeight="1" outlineLevelRow="1" x14ac:dyDescent="0.25"/>
  <cols>
    <col min="1" max="1" width="2.6640625" customWidth="1"/>
    <col min="2" max="2" width="63.44140625" customWidth="1"/>
    <col min="3" max="3" width="5.44140625" customWidth="1"/>
    <col min="4" max="4" width="11.33203125" customWidth="1"/>
    <col min="5" max="5" width="9.109375" customWidth="1"/>
    <col min="6" max="6" width="8.21875" customWidth="1"/>
    <col min="7" max="7" width="43.88671875" customWidth="1"/>
  </cols>
  <sheetData>
    <row r="1" spans="1:26" ht="14.4" x14ac:dyDescent="0.3">
      <c r="A1" s="128"/>
      <c r="B1" s="128"/>
      <c r="C1" s="128"/>
      <c r="D1" s="128"/>
      <c r="E1" s="128"/>
      <c r="F1" s="180"/>
      <c r="G1" s="278" t="s">
        <v>405</v>
      </c>
      <c r="H1" s="262"/>
      <c r="I1" s="262"/>
      <c r="J1" s="261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</row>
    <row r="2" spans="1:26" ht="14.4" x14ac:dyDescent="0.3">
      <c r="A2" s="128"/>
      <c r="B2" s="181" t="s">
        <v>406</v>
      </c>
      <c r="C2" s="181"/>
      <c r="D2" s="181"/>
      <c r="E2" s="181"/>
      <c r="F2" s="181"/>
      <c r="G2" s="181" t="s">
        <v>407</v>
      </c>
      <c r="H2" s="182">
        <f>SUM(H3:H9,J3:J9)</f>
        <v>0</v>
      </c>
      <c r="I2" s="181"/>
      <c r="J2" s="181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</row>
    <row r="3" spans="1:26" ht="14.4" outlineLevel="1" x14ac:dyDescent="0.3">
      <c r="A3" s="128"/>
      <c r="B3" s="183" t="s">
        <v>408</v>
      </c>
      <c r="C3" s="184" t="s">
        <v>9</v>
      </c>
      <c r="D3" s="184" t="s">
        <v>409</v>
      </c>
      <c r="E3" s="184" t="s">
        <v>218</v>
      </c>
      <c r="F3" s="128"/>
      <c r="G3" s="185" t="s">
        <v>410</v>
      </c>
      <c r="H3" s="186">
        <f>E9</f>
        <v>0</v>
      </c>
      <c r="I3" s="185" t="s">
        <v>411</v>
      </c>
      <c r="J3" s="186">
        <f>E91+J91</f>
        <v>0</v>
      </c>
      <c r="K3" s="128"/>
      <c r="L3" s="279" t="s">
        <v>412</v>
      </c>
      <c r="M3" s="259"/>
      <c r="N3" s="259"/>
      <c r="O3" s="259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</row>
    <row r="4" spans="1:26" ht="14.4" outlineLevel="1" x14ac:dyDescent="0.3">
      <c r="A4" s="128"/>
      <c r="B4" s="128" t="s">
        <v>413</v>
      </c>
      <c r="C4" s="101">
        <v>0</v>
      </c>
      <c r="D4" s="187">
        <v>0</v>
      </c>
      <c r="E4" s="186">
        <f t="shared" ref="E4:E8" si="0">D4*C4</f>
        <v>0</v>
      </c>
      <c r="F4" s="128"/>
      <c r="G4" s="185" t="s">
        <v>414</v>
      </c>
      <c r="H4" s="186">
        <f>E20+J20</f>
        <v>0</v>
      </c>
      <c r="I4" s="185" t="s">
        <v>415</v>
      </c>
      <c r="J4" s="186">
        <f>E116+J116</f>
        <v>0</v>
      </c>
      <c r="K4" s="128"/>
      <c r="L4" s="280" t="s">
        <v>416</v>
      </c>
      <c r="M4" s="259"/>
      <c r="N4" s="259"/>
      <c r="O4" s="259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</row>
    <row r="5" spans="1:26" ht="14.4" outlineLevel="1" x14ac:dyDescent="0.3">
      <c r="A5" s="128"/>
      <c r="B5" s="128" t="s">
        <v>417</v>
      </c>
      <c r="C5" s="101">
        <v>0</v>
      </c>
      <c r="D5" s="187">
        <v>0</v>
      </c>
      <c r="E5" s="186">
        <f t="shared" si="0"/>
        <v>0</v>
      </c>
      <c r="F5" s="128"/>
      <c r="G5" s="185" t="s">
        <v>418</v>
      </c>
      <c r="H5" s="186">
        <f>E29+J29</f>
        <v>0</v>
      </c>
      <c r="I5" s="185" t="s">
        <v>419</v>
      </c>
      <c r="J5" s="186">
        <f>E131</f>
        <v>0</v>
      </c>
      <c r="K5" s="128"/>
      <c r="L5" s="259"/>
      <c r="M5" s="259"/>
      <c r="N5" s="259"/>
      <c r="O5" s="259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</row>
    <row r="6" spans="1:26" ht="14.4" outlineLevel="1" x14ac:dyDescent="0.3">
      <c r="A6" s="128"/>
      <c r="B6" s="128" t="s">
        <v>420</v>
      </c>
      <c r="C6" s="101">
        <v>0</v>
      </c>
      <c r="D6" s="187">
        <v>0</v>
      </c>
      <c r="E6" s="186">
        <f t="shared" si="0"/>
        <v>0</v>
      </c>
      <c r="F6" s="128"/>
      <c r="G6" s="185" t="s">
        <v>421</v>
      </c>
      <c r="H6" s="186">
        <f>E41</f>
        <v>0</v>
      </c>
      <c r="I6" s="185" t="s">
        <v>422</v>
      </c>
      <c r="J6" s="186">
        <f>E143</f>
        <v>0</v>
      </c>
      <c r="K6" s="128"/>
      <c r="L6" s="259"/>
      <c r="M6" s="259"/>
      <c r="N6" s="259"/>
      <c r="O6" s="259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</row>
    <row r="7" spans="1:26" ht="14.4" outlineLevel="1" x14ac:dyDescent="0.3">
      <c r="A7" s="128"/>
      <c r="B7" s="128" t="s">
        <v>423</v>
      </c>
      <c r="C7" s="101">
        <v>0</v>
      </c>
      <c r="D7" s="187">
        <v>0</v>
      </c>
      <c r="E7" s="186">
        <f t="shared" si="0"/>
        <v>0</v>
      </c>
      <c r="F7" s="128"/>
      <c r="G7" s="185" t="s">
        <v>424</v>
      </c>
      <c r="H7" s="186">
        <f>E59+J59</f>
        <v>0</v>
      </c>
      <c r="I7" s="185" t="s">
        <v>425</v>
      </c>
      <c r="J7" s="186">
        <f>E153</f>
        <v>0</v>
      </c>
      <c r="K7" s="128"/>
      <c r="L7" s="259"/>
      <c r="M7" s="259"/>
      <c r="N7" s="259"/>
      <c r="O7" s="259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</row>
    <row r="8" spans="1:26" ht="14.4" outlineLevel="1" x14ac:dyDescent="0.3">
      <c r="A8" s="128"/>
      <c r="B8" s="128" t="s">
        <v>426</v>
      </c>
      <c r="C8" s="101">
        <v>0</v>
      </c>
      <c r="D8" s="187">
        <v>0</v>
      </c>
      <c r="E8" s="186">
        <f t="shared" si="0"/>
        <v>0</v>
      </c>
      <c r="F8" s="128"/>
      <c r="G8" s="185" t="s">
        <v>427</v>
      </c>
      <c r="H8" s="186">
        <f>E73+J73</f>
        <v>0</v>
      </c>
      <c r="I8" s="185" t="s">
        <v>428</v>
      </c>
      <c r="J8" s="186">
        <f>E163</f>
        <v>0</v>
      </c>
      <c r="K8" s="128"/>
      <c r="L8" s="259"/>
      <c r="M8" s="259"/>
      <c r="N8" s="259"/>
      <c r="O8" s="259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</row>
    <row r="9" spans="1:26" ht="14.4" x14ac:dyDescent="0.3">
      <c r="A9" s="128"/>
      <c r="B9" s="189"/>
      <c r="C9" s="181"/>
      <c r="D9" s="181" t="s">
        <v>429</v>
      </c>
      <c r="E9" s="182">
        <f>SUM(E4:E8)</f>
        <v>0</v>
      </c>
      <c r="F9" s="128"/>
      <c r="G9" s="185" t="s">
        <v>430</v>
      </c>
      <c r="H9" s="186">
        <f>E81</f>
        <v>0</v>
      </c>
      <c r="I9" s="185" t="s">
        <v>431</v>
      </c>
      <c r="J9" s="186">
        <f>E180</f>
        <v>0</v>
      </c>
      <c r="K9" s="128"/>
      <c r="L9" s="188"/>
      <c r="M9" s="188"/>
      <c r="N9" s="188"/>
      <c r="O9" s="18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</row>
    <row r="10" spans="1:26" ht="14.4" x14ac:dyDescent="0.3">
      <c r="A10" s="128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</row>
    <row r="11" spans="1:26" ht="14.4" x14ac:dyDescent="0.3">
      <c r="A11" s="128"/>
      <c r="B11" s="281" t="s">
        <v>414</v>
      </c>
      <c r="C11" s="259"/>
      <c r="D11" s="259"/>
      <c r="E11" s="259"/>
      <c r="F11" s="259"/>
      <c r="G11" s="259"/>
      <c r="H11" s="259"/>
      <c r="I11" s="259"/>
      <c r="J11" s="259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</row>
    <row r="12" spans="1:26" ht="14.4" outlineLevel="1" x14ac:dyDescent="0.3">
      <c r="A12" s="128"/>
      <c r="B12" s="183" t="s">
        <v>432</v>
      </c>
      <c r="C12" s="184" t="s">
        <v>9</v>
      </c>
      <c r="D12" s="184" t="s">
        <v>409</v>
      </c>
      <c r="E12" s="184" t="s">
        <v>218</v>
      </c>
      <c r="F12" s="128"/>
      <c r="G12" s="183" t="s">
        <v>432</v>
      </c>
      <c r="H12" s="184" t="s">
        <v>9</v>
      </c>
      <c r="I12" s="184" t="s">
        <v>409</v>
      </c>
      <c r="J12" s="184" t="s">
        <v>218</v>
      </c>
      <c r="K12" s="128"/>
      <c r="L12" s="279" t="s">
        <v>412</v>
      </c>
      <c r="M12" s="259"/>
      <c r="N12" s="259"/>
      <c r="O12" s="259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</row>
    <row r="13" spans="1:26" ht="14.4" outlineLevel="1" x14ac:dyDescent="0.3">
      <c r="A13" s="128"/>
      <c r="B13" s="128" t="s">
        <v>433</v>
      </c>
      <c r="C13" s="101">
        <v>0</v>
      </c>
      <c r="D13" s="187">
        <v>0</v>
      </c>
      <c r="E13" s="186">
        <f t="shared" ref="E13:E19" si="1">D13*C13</f>
        <v>0</v>
      </c>
      <c r="F13" s="128"/>
      <c r="G13" s="128" t="s">
        <v>434</v>
      </c>
      <c r="H13" s="101">
        <v>0</v>
      </c>
      <c r="I13" s="187">
        <v>0</v>
      </c>
      <c r="J13" s="186">
        <f t="shared" ref="J13:J19" si="2">I13*H13</f>
        <v>0</v>
      </c>
      <c r="K13" s="128"/>
      <c r="L13" s="282" t="s">
        <v>416</v>
      </c>
      <c r="M13" s="259"/>
      <c r="N13" s="259"/>
      <c r="O13" s="259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</row>
    <row r="14" spans="1:26" ht="14.4" outlineLevel="1" x14ac:dyDescent="0.3">
      <c r="A14" s="128"/>
      <c r="B14" s="128" t="s">
        <v>435</v>
      </c>
      <c r="C14" s="101">
        <v>0</v>
      </c>
      <c r="D14" s="187">
        <v>0</v>
      </c>
      <c r="E14" s="186">
        <f t="shared" si="1"/>
        <v>0</v>
      </c>
      <c r="F14" s="128"/>
      <c r="G14" s="128" t="s">
        <v>436</v>
      </c>
      <c r="H14" s="101">
        <v>0</v>
      </c>
      <c r="I14" s="187">
        <v>0</v>
      </c>
      <c r="J14" s="186">
        <f t="shared" si="2"/>
        <v>0</v>
      </c>
      <c r="K14" s="128"/>
      <c r="L14" s="259"/>
      <c r="M14" s="259"/>
      <c r="N14" s="259"/>
      <c r="O14" s="259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</row>
    <row r="15" spans="1:26" ht="14.4" outlineLevel="1" x14ac:dyDescent="0.3">
      <c r="A15" s="128"/>
      <c r="B15" s="128" t="s">
        <v>437</v>
      </c>
      <c r="C15" s="101">
        <v>0</v>
      </c>
      <c r="D15" s="187">
        <v>0</v>
      </c>
      <c r="E15" s="186">
        <f t="shared" si="1"/>
        <v>0</v>
      </c>
      <c r="F15" s="128"/>
      <c r="G15" s="128" t="s">
        <v>438</v>
      </c>
      <c r="H15" s="101">
        <v>0</v>
      </c>
      <c r="I15" s="187">
        <v>0</v>
      </c>
      <c r="J15" s="186">
        <f t="shared" si="2"/>
        <v>0</v>
      </c>
      <c r="K15" s="128"/>
      <c r="L15" s="259"/>
      <c r="M15" s="259"/>
      <c r="N15" s="259"/>
      <c r="O15" s="259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</row>
    <row r="16" spans="1:26" ht="14.4" outlineLevel="1" x14ac:dyDescent="0.3">
      <c r="A16" s="128"/>
      <c r="B16" s="128" t="s">
        <v>439</v>
      </c>
      <c r="C16" s="101">
        <v>0</v>
      </c>
      <c r="D16" s="187">
        <v>0</v>
      </c>
      <c r="E16" s="186">
        <f t="shared" si="1"/>
        <v>0</v>
      </c>
      <c r="F16" s="128"/>
      <c r="G16" s="128" t="s">
        <v>440</v>
      </c>
      <c r="H16" s="101">
        <v>0</v>
      </c>
      <c r="I16" s="187">
        <v>0</v>
      </c>
      <c r="J16" s="186">
        <f t="shared" si="2"/>
        <v>0</v>
      </c>
      <c r="K16" s="128"/>
      <c r="L16" s="259"/>
      <c r="M16" s="259"/>
      <c r="N16" s="259"/>
      <c r="O16" s="259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</row>
    <row r="17" spans="1:26" ht="14.4" outlineLevel="1" x14ac:dyDescent="0.3">
      <c r="A17" s="128"/>
      <c r="B17" s="128" t="s">
        <v>441</v>
      </c>
      <c r="C17" s="101">
        <v>0</v>
      </c>
      <c r="D17" s="187">
        <v>0</v>
      </c>
      <c r="E17" s="186">
        <f t="shared" si="1"/>
        <v>0</v>
      </c>
      <c r="F17" s="128"/>
      <c r="G17" s="128" t="s">
        <v>442</v>
      </c>
      <c r="H17" s="101">
        <v>0</v>
      </c>
      <c r="I17" s="187">
        <v>0</v>
      </c>
      <c r="J17" s="186">
        <f t="shared" si="2"/>
        <v>0</v>
      </c>
      <c r="K17" s="128"/>
      <c r="L17" s="259"/>
      <c r="M17" s="259"/>
      <c r="N17" s="259"/>
      <c r="O17" s="259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</row>
    <row r="18" spans="1:26" ht="14.4" outlineLevel="1" x14ac:dyDescent="0.3">
      <c r="A18" s="128"/>
      <c r="B18" s="128" t="s">
        <v>443</v>
      </c>
      <c r="C18" s="101">
        <v>0</v>
      </c>
      <c r="D18" s="187">
        <v>0</v>
      </c>
      <c r="E18" s="186">
        <f t="shared" si="1"/>
        <v>0</v>
      </c>
      <c r="F18" s="128"/>
      <c r="G18" s="128" t="s">
        <v>444</v>
      </c>
      <c r="H18" s="101">
        <v>0</v>
      </c>
      <c r="I18" s="187">
        <v>0</v>
      </c>
      <c r="J18" s="186">
        <f t="shared" si="2"/>
        <v>0</v>
      </c>
      <c r="K18" s="128"/>
      <c r="L18" s="259"/>
      <c r="M18" s="259"/>
      <c r="N18" s="259"/>
      <c r="O18" s="259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</row>
    <row r="19" spans="1:26" ht="14.4" outlineLevel="1" x14ac:dyDescent="0.3">
      <c r="A19" s="128"/>
      <c r="B19" s="128" t="s">
        <v>445</v>
      </c>
      <c r="C19" s="101">
        <v>0</v>
      </c>
      <c r="D19" s="187">
        <v>0</v>
      </c>
      <c r="E19" s="186">
        <f t="shared" si="1"/>
        <v>0</v>
      </c>
      <c r="F19" s="128"/>
      <c r="G19" s="128" t="s">
        <v>446</v>
      </c>
      <c r="H19" s="101">
        <v>0</v>
      </c>
      <c r="I19" s="187">
        <v>0</v>
      </c>
      <c r="J19" s="186">
        <f t="shared" si="2"/>
        <v>0</v>
      </c>
      <c r="K19" s="128"/>
      <c r="L19" s="259"/>
      <c r="M19" s="259"/>
      <c r="N19" s="259"/>
      <c r="O19" s="259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</row>
    <row r="20" spans="1:26" ht="14.4" x14ac:dyDescent="0.3">
      <c r="A20" s="128"/>
      <c r="B20" s="189"/>
      <c r="C20" s="181"/>
      <c r="D20" s="181" t="s">
        <v>447</v>
      </c>
      <c r="E20" s="182">
        <f>SUM(E13:E19)</f>
        <v>0</v>
      </c>
      <c r="F20" s="128"/>
      <c r="G20" s="189"/>
      <c r="H20" s="181"/>
      <c r="I20" s="181" t="s">
        <v>447</v>
      </c>
      <c r="J20" s="182">
        <f>SUM(J13:J19)</f>
        <v>0</v>
      </c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</row>
    <row r="21" spans="1:26" ht="14.4" x14ac:dyDescent="0.3">
      <c r="A21" s="128"/>
      <c r="B21" s="128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</row>
    <row r="22" spans="1:26" ht="14.4" x14ac:dyDescent="0.3">
      <c r="A22" s="128"/>
      <c r="B22" s="283" t="s">
        <v>418</v>
      </c>
      <c r="C22" s="259"/>
      <c r="D22" s="259"/>
      <c r="E22" s="259"/>
      <c r="F22" s="259"/>
      <c r="G22" s="259"/>
      <c r="H22" s="259"/>
      <c r="I22" s="259"/>
      <c r="J22" s="259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</row>
    <row r="23" spans="1:26" ht="14.4" outlineLevel="1" x14ac:dyDescent="0.3">
      <c r="A23" s="128"/>
      <c r="B23" s="183" t="s">
        <v>432</v>
      </c>
      <c r="C23" s="184" t="s">
        <v>9</v>
      </c>
      <c r="D23" s="184" t="s">
        <v>409</v>
      </c>
      <c r="E23" s="184" t="s">
        <v>218</v>
      </c>
      <c r="F23" s="128"/>
      <c r="G23" s="183" t="s">
        <v>432</v>
      </c>
      <c r="H23" s="184" t="s">
        <v>9</v>
      </c>
      <c r="I23" s="184" t="s">
        <v>409</v>
      </c>
      <c r="J23" s="184" t="s">
        <v>218</v>
      </c>
      <c r="K23" s="128"/>
      <c r="L23" s="259"/>
      <c r="M23" s="259"/>
      <c r="N23" s="259"/>
      <c r="O23" s="259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</row>
    <row r="24" spans="1:26" ht="14.4" outlineLevel="1" x14ac:dyDescent="0.3">
      <c r="A24" s="128"/>
      <c r="B24" s="128" t="s">
        <v>448</v>
      </c>
      <c r="C24" s="101">
        <v>0</v>
      </c>
      <c r="D24" s="187">
        <v>0</v>
      </c>
      <c r="E24" s="186">
        <f t="shared" ref="E24:E28" si="3">D24*C24</f>
        <v>0</v>
      </c>
      <c r="F24" s="128"/>
      <c r="G24" s="128" t="s">
        <v>449</v>
      </c>
      <c r="H24" s="101">
        <v>0</v>
      </c>
      <c r="I24" s="187">
        <v>0</v>
      </c>
      <c r="J24" s="186">
        <f t="shared" ref="J24:J28" si="4">I24*H24</f>
        <v>0</v>
      </c>
      <c r="K24" s="128"/>
      <c r="L24" s="259"/>
      <c r="M24" s="259"/>
      <c r="N24" s="259"/>
      <c r="O24" s="259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</row>
    <row r="25" spans="1:26" ht="14.4" outlineLevel="1" x14ac:dyDescent="0.3">
      <c r="A25" s="128"/>
      <c r="B25" s="128" t="s">
        <v>450</v>
      </c>
      <c r="C25" s="101">
        <v>0</v>
      </c>
      <c r="D25" s="187">
        <v>0</v>
      </c>
      <c r="E25" s="186">
        <f t="shared" si="3"/>
        <v>0</v>
      </c>
      <c r="F25" s="128"/>
      <c r="G25" s="128" t="s">
        <v>451</v>
      </c>
      <c r="H25" s="101">
        <v>0</v>
      </c>
      <c r="I25" s="187">
        <v>0</v>
      </c>
      <c r="J25" s="186">
        <f t="shared" si="4"/>
        <v>0</v>
      </c>
      <c r="K25" s="128"/>
      <c r="L25" s="259"/>
      <c r="M25" s="259"/>
      <c r="N25" s="259"/>
      <c r="O25" s="259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</row>
    <row r="26" spans="1:26" ht="14.4" outlineLevel="1" x14ac:dyDescent="0.3">
      <c r="A26" s="128"/>
      <c r="B26" s="128" t="s">
        <v>452</v>
      </c>
      <c r="C26" s="101">
        <v>0</v>
      </c>
      <c r="D26" s="187">
        <v>0</v>
      </c>
      <c r="E26" s="186">
        <f t="shared" si="3"/>
        <v>0</v>
      </c>
      <c r="F26" s="128"/>
      <c r="G26" s="128" t="s">
        <v>1</v>
      </c>
      <c r="H26" s="101">
        <v>0</v>
      </c>
      <c r="I26" s="187">
        <v>0</v>
      </c>
      <c r="J26" s="186">
        <f t="shared" si="4"/>
        <v>0</v>
      </c>
      <c r="K26" s="128"/>
      <c r="L26" s="259"/>
      <c r="M26" s="259"/>
      <c r="N26" s="259"/>
      <c r="O26" s="259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</row>
    <row r="27" spans="1:26" ht="14.4" outlineLevel="1" x14ac:dyDescent="0.3">
      <c r="A27" s="128"/>
      <c r="B27" s="128" t="s">
        <v>453</v>
      </c>
      <c r="C27" s="101">
        <v>0</v>
      </c>
      <c r="D27" s="187">
        <v>0</v>
      </c>
      <c r="E27" s="186">
        <f t="shared" si="3"/>
        <v>0</v>
      </c>
      <c r="F27" s="128"/>
      <c r="G27" s="128" t="s">
        <v>1</v>
      </c>
      <c r="H27" s="101">
        <v>0</v>
      </c>
      <c r="I27" s="187">
        <v>0</v>
      </c>
      <c r="J27" s="186">
        <f t="shared" si="4"/>
        <v>0</v>
      </c>
      <c r="K27" s="128"/>
      <c r="L27" s="259"/>
      <c r="M27" s="259"/>
      <c r="N27" s="259"/>
      <c r="O27" s="259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</row>
    <row r="28" spans="1:26" ht="14.4" outlineLevel="1" x14ac:dyDescent="0.3">
      <c r="A28" s="128"/>
      <c r="B28" s="128" t="s">
        <v>454</v>
      </c>
      <c r="C28" s="101">
        <v>0</v>
      </c>
      <c r="D28" s="187">
        <v>0</v>
      </c>
      <c r="E28" s="186">
        <f t="shared" si="3"/>
        <v>0</v>
      </c>
      <c r="F28" s="128"/>
      <c r="G28" s="128" t="s">
        <v>1</v>
      </c>
      <c r="H28" s="101">
        <v>0</v>
      </c>
      <c r="I28" s="187">
        <v>0</v>
      </c>
      <c r="J28" s="186">
        <f t="shared" si="4"/>
        <v>0</v>
      </c>
      <c r="K28" s="128"/>
      <c r="L28" s="259"/>
      <c r="M28" s="259"/>
      <c r="N28" s="259"/>
      <c r="O28" s="259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</row>
    <row r="29" spans="1:26" ht="14.4" x14ac:dyDescent="0.3">
      <c r="A29" s="128"/>
      <c r="B29" s="189"/>
      <c r="C29" s="181"/>
      <c r="D29" s="181" t="s">
        <v>447</v>
      </c>
      <c r="E29" s="182">
        <f>SUM(E24:E28)</f>
        <v>0</v>
      </c>
      <c r="F29" s="128"/>
      <c r="G29" s="189"/>
      <c r="H29" s="181"/>
      <c r="I29" s="181" t="s">
        <v>447</v>
      </c>
      <c r="J29" s="182">
        <f>SUM(J24:J28)</f>
        <v>0</v>
      </c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</row>
    <row r="30" spans="1:26" ht="14.4" x14ac:dyDescent="0.3">
      <c r="A30" s="128"/>
      <c r="B30" s="128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</row>
    <row r="31" spans="1:26" ht="14.4" x14ac:dyDescent="0.3">
      <c r="A31" s="128"/>
      <c r="B31" s="283" t="s">
        <v>421</v>
      </c>
      <c r="C31" s="259"/>
      <c r="D31" s="259"/>
      <c r="E31" s="259"/>
      <c r="F31" s="259"/>
      <c r="G31" s="259"/>
      <c r="H31" s="259"/>
      <c r="I31" s="259"/>
      <c r="J31" s="259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</row>
    <row r="32" spans="1:26" ht="14.4" outlineLevel="1" x14ac:dyDescent="0.3">
      <c r="A32" s="128"/>
      <c r="B32" s="183" t="s">
        <v>7</v>
      </c>
      <c r="C32" s="184" t="s">
        <v>9</v>
      </c>
      <c r="D32" s="184" t="s">
        <v>455</v>
      </c>
      <c r="E32" s="184" t="s">
        <v>235</v>
      </c>
      <c r="F32" s="128"/>
      <c r="G32" s="279" t="s">
        <v>412</v>
      </c>
      <c r="H32" s="259"/>
      <c r="I32" s="259"/>
      <c r="J32" s="259"/>
      <c r="K32" s="259"/>
      <c r="L32" s="259"/>
      <c r="M32" s="259"/>
      <c r="N32" s="259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</row>
    <row r="33" spans="1:26" ht="14.4" outlineLevel="1" x14ac:dyDescent="0.3">
      <c r="A33" s="128"/>
      <c r="B33" s="128" t="s">
        <v>456</v>
      </c>
      <c r="C33" s="101">
        <v>0</v>
      </c>
      <c r="D33" s="187">
        <v>0</v>
      </c>
      <c r="E33" s="186">
        <f t="shared" ref="E33:E40" si="5">D33*C33</f>
        <v>0</v>
      </c>
      <c r="F33" s="128"/>
      <c r="G33" s="284" t="s">
        <v>457</v>
      </c>
      <c r="H33" s="259"/>
      <c r="I33" s="259"/>
      <c r="J33" s="259"/>
      <c r="K33" s="259"/>
      <c r="L33" s="259"/>
      <c r="M33" s="259"/>
      <c r="N33" s="259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</row>
    <row r="34" spans="1:26" ht="14.4" outlineLevel="1" x14ac:dyDescent="0.3">
      <c r="A34" s="128"/>
      <c r="B34" s="128" t="s">
        <v>458</v>
      </c>
      <c r="C34" s="101">
        <v>0</v>
      </c>
      <c r="D34" s="187">
        <v>0</v>
      </c>
      <c r="E34" s="186">
        <f t="shared" si="5"/>
        <v>0</v>
      </c>
      <c r="F34" s="128"/>
      <c r="G34" s="284" t="s">
        <v>459</v>
      </c>
      <c r="H34" s="259"/>
      <c r="I34" s="259"/>
      <c r="J34" s="259"/>
      <c r="K34" s="259"/>
      <c r="L34" s="259"/>
      <c r="M34" s="259"/>
      <c r="N34" s="259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</row>
    <row r="35" spans="1:26" ht="14.4" outlineLevel="1" x14ac:dyDescent="0.3">
      <c r="A35" s="128"/>
      <c r="B35" s="128" t="s">
        <v>460</v>
      </c>
      <c r="C35" s="101">
        <v>0</v>
      </c>
      <c r="D35" s="187">
        <v>0</v>
      </c>
      <c r="E35" s="186">
        <f t="shared" si="5"/>
        <v>0</v>
      </c>
      <c r="F35" s="128"/>
      <c r="G35" s="284" t="s">
        <v>461</v>
      </c>
      <c r="H35" s="259"/>
      <c r="I35" s="259"/>
      <c r="J35" s="259"/>
      <c r="K35" s="259"/>
      <c r="L35" s="259"/>
      <c r="M35" s="259"/>
      <c r="N35" s="259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</row>
    <row r="36" spans="1:26" ht="28.8" outlineLevel="1" x14ac:dyDescent="0.3">
      <c r="A36" s="128"/>
      <c r="B36" s="190" t="s">
        <v>462</v>
      </c>
      <c r="C36" s="101">
        <v>0</v>
      </c>
      <c r="D36" s="187">
        <v>0</v>
      </c>
      <c r="E36" s="191">
        <f t="shared" si="5"/>
        <v>0</v>
      </c>
      <c r="F36" s="128"/>
      <c r="G36" s="190" t="s">
        <v>463</v>
      </c>
      <c r="H36" s="190"/>
      <c r="I36" s="190"/>
      <c r="J36" s="190"/>
      <c r="K36" s="190"/>
      <c r="L36" s="190"/>
      <c r="M36" s="190"/>
      <c r="N36" s="190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</row>
    <row r="37" spans="1:26" ht="14.4" outlineLevel="1" x14ac:dyDescent="0.3">
      <c r="A37" s="128"/>
      <c r="B37" s="128" t="s">
        <v>464</v>
      </c>
      <c r="C37" s="101">
        <v>0</v>
      </c>
      <c r="D37" s="187">
        <v>0</v>
      </c>
      <c r="E37" s="186">
        <f t="shared" si="5"/>
        <v>0</v>
      </c>
      <c r="F37" s="128"/>
      <c r="G37" s="284" t="s">
        <v>465</v>
      </c>
      <c r="H37" s="259"/>
      <c r="I37" s="259"/>
      <c r="J37" s="259"/>
      <c r="K37" s="259"/>
      <c r="L37" s="259"/>
      <c r="M37" s="259"/>
      <c r="N37" s="259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</row>
    <row r="38" spans="1:26" ht="14.4" outlineLevel="1" x14ac:dyDescent="0.3">
      <c r="A38" s="128"/>
      <c r="B38" s="128" t="s">
        <v>466</v>
      </c>
      <c r="C38" s="101">
        <v>0</v>
      </c>
      <c r="D38" s="187">
        <v>0</v>
      </c>
      <c r="E38" s="186">
        <f t="shared" si="5"/>
        <v>0</v>
      </c>
      <c r="F38" s="128"/>
      <c r="G38" s="284" t="s">
        <v>467</v>
      </c>
      <c r="H38" s="259"/>
      <c r="I38" s="259"/>
      <c r="J38" s="259"/>
      <c r="K38" s="259"/>
      <c r="L38" s="259"/>
      <c r="M38" s="259"/>
      <c r="N38" s="259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</row>
    <row r="39" spans="1:26" ht="14.4" outlineLevel="1" x14ac:dyDescent="0.3">
      <c r="A39" s="128"/>
      <c r="B39" s="128" t="s">
        <v>468</v>
      </c>
      <c r="C39" s="101">
        <v>0</v>
      </c>
      <c r="D39" s="187">
        <v>0</v>
      </c>
      <c r="E39" s="186">
        <f t="shared" si="5"/>
        <v>0</v>
      </c>
      <c r="F39" s="128"/>
      <c r="G39" s="284" t="s">
        <v>469</v>
      </c>
      <c r="H39" s="259"/>
      <c r="I39" s="259"/>
      <c r="J39" s="259"/>
      <c r="K39" s="259"/>
      <c r="L39" s="259"/>
      <c r="M39" s="259"/>
      <c r="N39" s="259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</row>
    <row r="40" spans="1:26" ht="14.4" outlineLevel="1" x14ac:dyDescent="0.3">
      <c r="A40" s="128"/>
      <c r="B40" s="128" t="s">
        <v>470</v>
      </c>
      <c r="C40" s="101">
        <v>0</v>
      </c>
      <c r="D40" s="187">
        <v>0</v>
      </c>
      <c r="E40" s="186">
        <f t="shared" si="5"/>
        <v>0</v>
      </c>
      <c r="F40" s="128"/>
      <c r="G40" s="128"/>
      <c r="H40" s="128"/>
      <c r="I40" s="128"/>
      <c r="J40" s="128"/>
      <c r="K40" s="128"/>
      <c r="L40" s="128"/>
      <c r="M40" s="128"/>
      <c r="N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</row>
    <row r="41" spans="1:26" ht="14.4" x14ac:dyDescent="0.3">
      <c r="A41" s="128"/>
      <c r="B41" s="189"/>
      <c r="C41" s="181"/>
      <c r="D41" s="181" t="s">
        <v>471</v>
      </c>
      <c r="E41" s="182">
        <f>SUM(E33:E40)</f>
        <v>0</v>
      </c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</row>
    <row r="42" spans="1:26" ht="14.4" x14ac:dyDescent="0.3">
      <c r="A42" s="128"/>
      <c r="B42" s="128"/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</row>
    <row r="43" spans="1:26" ht="14.4" x14ac:dyDescent="0.3">
      <c r="A43" s="128"/>
      <c r="B43" s="283" t="s">
        <v>472</v>
      </c>
      <c r="C43" s="259"/>
      <c r="D43" s="259"/>
      <c r="E43" s="259"/>
      <c r="F43" s="259"/>
      <c r="G43" s="259"/>
      <c r="H43" s="259"/>
      <c r="I43" s="259"/>
      <c r="J43" s="259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</row>
    <row r="44" spans="1:26" ht="14.4" outlineLevel="1" x14ac:dyDescent="0.3">
      <c r="A44" s="128"/>
      <c r="B44" s="183" t="s">
        <v>7</v>
      </c>
      <c r="C44" s="184" t="s">
        <v>9</v>
      </c>
      <c r="D44" s="184" t="s">
        <v>473</v>
      </c>
      <c r="E44" s="184" t="s">
        <v>235</v>
      </c>
      <c r="F44" s="128"/>
      <c r="G44" s="183" t="s">
        <v>7</v>
      </c>
      <c r="H44" s="184" t="s">
        <v>9</v>
      </c>
      <c r="I44" s="184" t="s">
        <v>473</v>
      </c>
      <c r="J44" s="184" t="s">
        <v>235</v>
      </c>
      <c r="K44" s="279" t="s">
        <v>412</v>
      </c>
      <c r="L44" s="259"/>
      <c r="M44" s="259"/>
      <c r="N44" s="259"/>
      <c r="O44" s="259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</row>
    <row r="45" spans="1:26" ht="14.4" outlineLevel="1" x14ac:dyDescent="0.3">
      <c r="A45" s="128"/>
      <c r="B45" s="128" t="s">
        <v>474</v>
      </c>
      <c r="C45" s="101">
        <v>1</v>
      </c>
      <c r="D45" s="187">
        <v>0</v>
      </c>
      <c r="E45" s="186">
        <f t="shared" ref="E45:E58" si="6">D45*C45</f>
        <v>0</v>
      </c>
      <c r="F45" s="128"/>
      <c r="G45" s="128" t="s">
        <v>1</v>
      </c>
      <c r="H45" s="101">
        <v>0</v>
      </c>
      <c r="I45" s="187">
        <v>0</v>
      </c>
      <c r="J45" s="186">
        <f t="shared" ref="J45:J58" si="7">I45*H45</f>
        <v>0</v>
      </c>
      <c r="K45" s="259"/>
      <c r="L45" s="259"/>
      <c r="M45" s="259"/>
      <c r="N45" s="259"/>
      <c r="O45" s="259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</row>
    <row r="46" spans="1:26" ht="14.4" outlineLevel="1" x14ac:dyDescent="0.3">
      <c r="A46" s="128"/>
      <c r="B46" s="128" t="s">
        <v>475</v>
      </c>
      <c r="C46" s="101">
        <v>0</v>
      </c>
      <c r="D46" s="187">
        <v>0</v>
      </c>
      <c r="E46" s="186">
        <f t="shared" si="6"/>
        <v>0</v>
      </c>
      <c r="F46" s="128"/>
      <c r="G46" s="128" t="s">
        <v>1</v>
      </c>
      <c r="H46" s="101">
        <v>0</v>
      </c>
      <c r="I46" s="187">
        <v>0</v>
      </c>
      <c r="J46" s="186">
        <f t="shared" si="7"/>
        <v>0</v>
      </c>
      <c r="K46" s="280" t="s">
        <v>476</v>
      </c>
      <c r="L46" s="259"/>
      <c r="M46" s="259"/>
      <c r="N46" s="259"/>
      <c r="O46" s="259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</row>
    <row r="47" spans="1:26" ht="14.4" outlineLevel="1" x14ac:dyDescent="0.3">
      <c r="A47" s="128"/>
      <c r="B47" s="128" t="s">
        <v>477</v>
      </c>
      <c r="C47" s="101">
        <v>0</v>
      </c>
      <c r="D47" s="187">
        <v>0</v>
      </c>
      <c r="E47" s="186">
        <f t="shared" si="6"/>
        <v>0</v>
      </c>
      <c r="F47" s="128"/>
      <c r="G47" s="128" t="s">
        <v>1</v>
      </c>
      <c r="H47" s="101">
        <v>0</v>
      </c>
      <c r="I47" s="187">
        <v>0</v>
      </c>
      <c r="J47" s="186">
        <f t="shared" si="7"/>
        <v>0</v>
      </c>
      <c r="K47" s="259"/>
      <c r="L47" s="259"/>
      <c r="M47" s="259"/>
      <c r="N47" s="259"/>
      <c r="O47" s="259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</row>
    <row r="48" spans="1:26" ht="14.4" outlineLevel="1" x14ac:dyDescent="0.3">
      <c r="A48" s="128"/>
      <c r="B48" s="128" t="s">
        <v>478</v>
      </c>
      <c r="C48" s="101">
        <v>0</v>
      </c>
      <c r="D48" s="187">
        <v>0</v>
      </c>
      <c r="E48" s="186">
        <f t="shared" si="6"/>
        <v>0</v>
      </c>
      <c r="F48" s="128"/>
      <c r="G48" s="128" t="s">
        <v>1</v>
      </c>
      <c r="H48" s="101">
        <v>0</v>
      </c>
      <c r="I48" s="187">
        <v>0</v>
      </c>
      <c r="J48" s="186">
        <f t="shared" si="7"/>
        <v>0</v>
      </c>
      <c r="K48" s="259"/>
      <c r="L48" s="259"/>
      <c r="M48" s="259"/>
      <c r="N48" s="259"/>
      <c r="O48" s="259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</row>
    <row r="49" spans="1:26" ht="14.4" outlineLevel="1" x14ac:dyDescent="0.3">
      <c r="A49" s="128"/>
      <c r="B49" s="128" t="s">
        <v>479</v>
      </c>
      <c r="C49" s="101">
        <v>0</v>
      </c>
      <c r="D49" s="187">
        <v>0</v>
      </c>
      <c r="E49" s="186">
        <f t="shared" si="6"/>
        <v>0</v>
      </c>
      <c r="F49" s="128"/>
      <c r="G49" s="128" t="s">
        <v>1</v>
      </c>
      <c r="H49" s="101">
        <v>0</v>
      </c>
      <c r="I49" s="187">
        <v>0</v>
      </c>
      <c r="J49" s="186">
        <f t="shared" si="7"/>
        <v>0</v>
      </c>
      <c r="K49" s="259"/>
      <c r="L49" s="259"/>
      <c r="M49" s="259"/>
      <c r="N49" s="259"/>
      <c r="O49" s="259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</row>
    <row r="50" spans="1:26" ht="14.4" outlineLevel="1" x14ac:dyDescent="0.3">
      <c r="A50" s="128"/>
      <c r="B50" s="128" t="s">
        <v>480</v>
      </c>
      <c r="C50" s="101">
        <v>0</v>
      </c>
      <c r="D50" s="187">
        <v>0</v>
      </c>
      <c r="E50" s="186">
        <f t="shared" si="6"/>
        <v>0</v>
      </c>
      <c r="F50" s="128"/>
      <c r="G50" s="128" t="s">
        <v>1</v>
      </c>
      <c r="H50" s="101">
        <v>0</v>
      </c>
      <c r="I50" s="187">
        <v>0</v>
      </c>
      <c r="J50" s="186">
        <f t="shared" si="7"/>
        <v>0</v>
      </c>
      <c r="K50" s="259"/>
      <c r="L50" s="259"/>
      <c r="M50" s="259"/>
      <c r="N50" s="259"/>
      <c r="O50" s="259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</row>
    <row r="51" spans="1:26" ht="14.4" outlineLevel="1" x14ac:dyDescent="0.3">
      <c r="A51" s="128"/>
      <c r="B51" s="128" t="s">
        <v>481</v>
      </c>
      <c r="C51" s="101">
        <v>0</v>
      </c>
      <c r="D51" s="187">
        <v>0</v>
      </c>
      <c r="E51" s="186">
        <f t="shared" si="6"/>
        <v>0</v>
      </c>
      <c r="F51" s="128"/>
      <c r="G51" s="128" t="s">
        <v>1</v>
      </c>
      <c r="H51" s="101">
        <v>0</v>
      </c>
      <c r="I51" s="187">
        <v>0</v>
      </c>
      <c r="J51" s="186">
        <f t="shared" si="7"/>
        <v>0</v>
      </c>
      <c r="K51" s="259"/>
      <c r="L51" s="259"/>
      <c r="M51" s="259"/>
      <c r="N51" s="259"/>
      <c r="O51" s="259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</row>
    <row r="52" spans="1:26" ht="14.4" outlineLevel="1" x14ac:dyDescent="0.3">
      <c r="A52" s="128"/>
      <c r="B52" s="128" t="s">
        <v>482</v>
      </c>
      <c r="C52" s="101">
        <v>0</v>
      </c>
      <c r="D52" s="187">
        <v>0</v>
      </c>
      <c r="E52" s="186">
        <f t="shared" si="6"/>
        <v>0</v>
      </c>
      <c r="F52" s="128"/>
      <c r="G52" s="128" t="s">
        <v>1</v>
      </c>
      <c r="H52" s="101">
        <v>0</v>
      </c>
      <c r="I52" s="187">
        <v>0</v>
      </c>
      <c r="J52" s="186">
        <f t="shared" si="7"/>
        <v>0</v>
      </c>
      <c r="K52" s="259"/>
      <c r="L52" s="259"/>
      <c r="M52" s="259"/>
      <c r="N52" s="259"/>
      <c r="O52" s="259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</row>
    <row r="53" spans="1:26" ht="14.4" outlineLevel="1" x14ac:dyDescent="0.3">
      <c r="A53" s="128"/>
      <c r="B53" s="128" t="s">
        <v>483</v>
      </c>
      <c r="C53" s="101">
        <v>0</v>
      </c>
      <c r="D53" s="187">
        <v>0</v>
      </c>
      <c r="E53" s="186">
        <f t="shared" si="6"/>
        <v>0</v>
      </c>
      <c r="F53" s="128"/>
      <c r="G53" s="128" t="s">
        <v>1</v>
      </c>
      <c r="H53" s="101">
        <v>0</v>
      </c>
      <c r="I53" s="187">
        <v>0</v>
      </c>
      <c r="J53" s="186">
        <f t="shared" si="7"/>
        <v>0</v>
      </c>
      <c r="K53" s="259"/>
      <c r="L53" s="259"/>
      <c r="M53" s="259"/>
      <c r="N53" s="259"/>
      <c r="O53" s="259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</row>
    <row r="54" spans="1:26" ht="14.4" outlineLevel="1" x14ac:dyDescent="0.3">
      <c r="A54" s="128"/>
      <c r="B54" s="128" t="s">
        <v>484</v>
      </c>
      <c r="C54" s="101">
        <v>0</v>
      </c>
      <c r="D54" s="187">
        <v>0</v>
      </c>
      <c r="E54" s="186">
        <f t="shared" si="6"/>
        <v>0</v>
      </c>
      <c r="F54" s="128"/>
      <c r="G54" s="128" t="s">
        <v>1</v>
      </c>
      <c r="H54" s="101">
        <v>0</v>
      </c>
      <c r="I54" s="187">
        <v>0</v>
      </c>
      <c r="J54" s="186">
        <f t="shared" si="7"/>
        <v>0</v>
      </c>
      <c r="K54" s="259"/>
      <c r="L54" s="259"/>
      <c r="M54" s="259"/>
      <c r="N54" s="259"/>
      <c r="O54" s="259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</row>
    <row r="55" spans="1:26" ht="14.4" outlineLevel="1" x14ac:dyDescent="0.3">
      <c r="A55" s="128"/>
      <c r="B55" s="128" t="s">
        <v>485</v>
      </c>
      <c r="C55" s="101">
        <v>0</v>
      </c>
      <c r="D55" s="187">
        <v>0</v>
      </c>
      <c r="E55" s="186">
        <f t="shared" si="6"/>
        <v>0</v>
      </c>
      <c r="F55" s="128"/>
      <c r="G55" s="128" t="s">
        <v>1</v>
      </c>
      <c r="H55" s="101">
        <v>0</v>
      </c>
      <c r="I55" s="187">
        <v>0</v>
      </c>
      <c r="J55" s="186">
        <f t="shared" si="7"/>
        <v>0</v>
      </c>
      <c r="K55" s="259"/>
      <c r="L55" s="259"/>
      <c r="M55" s="259"/>
      <c r="N55" s="259"/>
      <c r="O55" s="259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</row>
    <row r="56" spans="1:26" ht="14.4" outlineLevel="1" x14ac:dyDescent="0.3">
      <c r="A56" s="128"/>
      <c r="B56" s="128" t="s">
        <v>486</v>
      </c>
      <c r="C56" s="101">
        <v>0</v>
      </c>
      <c r="D56" s="187">
        <v>0</v>
      </c>
      <c r="E56" s="186">
        <f t="shared" si="6"/>
        <v>0</v>
      </c>
      <c r="F56" s="128"/>
      <c r="G56" s="128" t="s">
        <v>1</v>
      </c>
      <c r="H56" s="101">
        <v>0</v>
      </c>
      <c r="I56" s="187">
        <v>0</v>
      </c>
      <c r="J56" s="186">
        <f t="shared" si="7"/>
        <v>0</v>
      </c>
      <c r="K56" s="259"/>
      <c r="L56" s="259"/>
      <c r="M56" s="259"/>
      <c r="N56" s="259"/>
      <c r="O56" s="259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</row>
    <row r="57" spans="1:26" ht="14.4" outlineLevel="1" x14ac:dyDescent="0.3">
      <c r="A57" s="128"/>
      <c r="B57" s="128" t="s">
        <v>487</v>
      </c>
      <c r="C57" s="101">
        <v>0</v>
      </c>
      <c r="D57" s="187">
        <v>0</v>
      </c>
      <c r="E57" s="186">
        <f t="shared" si="6"/>
        <v>0</v>
      </c>
      <c r="F57" s="128"/>
      <c r="G57" s="128" t="s">
        <v>1</v>
      </c>
      <c r="H57" s="101">
        <v>0</v>
      </c>
      <c r="I57" s="187">
        <v>0</v>
      </c>
      <c r="J57" s="186">
        <f t="shared" si="7"/>
        <v>0</v>
      </c>
      <c r="K57" s="259"/>
      <c r="L57" s="259"/>
      <c r="M57" s="259"/>
      <c r="N57" s="259"/>
      <c r="O57" s="259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</row>
    <row r="58" spans="1:26" ht="14.4" outlineLevel="1" x14ac:dyDescent="0.3">
      <c r="A58" s="128"/>
      <c r="B58" s="128" t="s">
        <v>488</v>
      </c>
      <c r="C58" s="101">
        <v>0</v>
      </c>
      <c r="D58" s="187">
        <v>0</v>
      </c>
      <c r="E58" s="186">
        <f t="shared" si="6"/>
        <v>0</v>
      </c>
      <c r="F58" s="128"/>
      <c r="G58" s="128" t="s">
        <v>1</v>
      </c>
      <c r="H58" s="101">
        <v>0</v>
      </c>
      <c r="I58" s="187">
        <v>0</v>
      </c>
      <c r="J58" s="186">
        <f t="shared" si="7"/>
        <v>0</v>
      </c>
      <c r="K58" s="259"/>
      <c r="L58" s="259"/>
      <c r="M58" s="259"/>
      <c r="N58" s="259"/>
      <c r="O58" s="259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</row>
    <row r="59" spans="1:26" ht="14.4" x14ac:dyDescent="0.3">
      <c r="A59" s="128"/>
      <c r="B59" s="189"/>
      <c r="C59" s="181"/>
      <c r="D59" s="181" t="s">
        <v>489</v>
      </c>
      <c r="E59" s="182">
        <f>SUM(E45:E58)</f>
        <v>0</v>
      </c>
      <c r="F59" s="128"/>
      <c r="G59" s="189"/>
      <c r="H59" s="181"/>
      <c r="I59" s="181" t="s">
        <v>489</v>
      </c>
      <c r="J59" s="182">
        <f>SUM(J45:J58)</f>
        <v>0</v>
      </c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</row>
    <row r="60" spans="1:26" ht="14.4" x14ac:dyDescent="0.3">
      <c r="A60" s="128"/>
      <c r="B60" s="128"/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</row>
    <row r="61" spans="1:26" ht="14.4" x14ac:dyDescent="0.3">
      <c r="A61" s="128"/>
      <c r="B61" s="283" t="s">
        <v>490</v>
      </c>
      <c r="C61" s="259"/>
      <c r="D61" s="259"/>
      <c r="E61" s="259"/>
      <c r="F61" s="259"/>
      <c r="G61" s="259"/>
      <c r="H61" s="259"/>
      <c r="I61" s="259"/>
      <c r="J61" s="259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</row>
    <row r="62" spans="1:26" ht="14.4" outlineLevel="1" x14ac:dyDescent="0.3">
      <c r="A62" s="128"/>
      <c r="B62" s="183" t="s">
        <v>7</v>
      </c>
      <c r="C62" s="184" t="s">
        <v>9</v>
      </c>
      <c r="D62" s="184" t="s">
        <v>473</v>
      </c>
      <c r="E62" s="184" t="s">
        <v>235</v>
      </c>
      <c r="F62" s="128"/>
      <c r="G62" s="183" t="s">
        <v>7</v>
      </c>
      <c r="H62" s="184" t="s">
        <v>9</v>
      </c>
      <c r="I62" s="184" t="s">
        <v>473</v>
      </c>
      <c r="J62" s="184" t="s">
        <v>235</v>
      </c>
      <c r="K62" s="279" t="s">
        <v>412</v>
      </c>
      <c r="L62" s="259"/>
      <c r="M62" s="259"/>
      <c r="N62" s="259"/>
      <c r="O62" s="259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</row>
    <row r="63" spans="1:26" ht="14.4" outlineLevel="1" x14ac:dyDescent="0.3">
      <c r="A63" s="128"/>
      <c r="B63" s="128" t="s">
        <v>491</v>
      </c>
      <c r="C63" s="101">
        <v>0</v>
      </c>
      <c r="D63" s="187">
        <v>0</v>
      </c>
      <c r="E63" s="104">
        <f t="shared" ref="E63:E72" si="8">D63*C63</f>
        <v>0</v>
      </c>
      <c r="F63" s="128"/>
      <c r="G63" s="128" t="s">
        <v>492</v>
      </c>
      <c r="H63" s="101">
        <v>0</v>
      </c>
      <c r="I63" s="187">
        <v>0</v>
      </c>
      <c r="J63" s="104">
        <f t="shared" ref="J63:J72" si="9">I63*H63</f>
        <v>0</v>
      </c>
      <c r="K63" s="279" t="s">
        <v>493</v>
      </c>
      <c r="L63" s="259"/>
      <c r="M63" s="259"/>
      <c r="N63" s="259"/>
      <c r="O63" s="259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</row>
    <row r="64" spans="1:26" ht="14.4" outlineLevel="1" x14ac:dyDescent="0.3">
      <c r="A64" s="128"/>
      <c r="B64" s="128" t="s">
        <v>494</v>
      </c>
      <c r="C64" s="101">
        <v>0</v>
      </c>
      <c r="D64" s="187">
        <v>0</v>
      </c>
      <c r="E64" s="104">
        <f t="shared" si="8"/>
        <v>0</v>
      </c>
      <c r="F64" s="128"/>
      <c r="G64" s="128" t="s">
        <v>495</v>
      </c>
      <c r="H64" s="101">
        <v>0</v>
      </c>
      <c r="I64" s="187">
        <v>0</v>
      </c>
      <c r="J64" s="104">
        <f t="shared" si="9"/>
        <v>0</v>
      </c>
      <c r="K64" s="259"/>
      <c r="L64" s="259"/>
      <c r="M64" s="259"/>
      <c r="N64" s="259"/>
      <c r="O64" s="259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</row>
    <row r="65" spans="1:26" ht="14.4" outlineLevel="1" x14ac:dyDescent="0.3">
      <c r="A65" s="128"/>
      <c r="B65" s="128" t="s">
        <v>496</v>
      </c>
      <c r="C65" s="101">
        <v>0</v>
      </c>
      <c r="D65" s="187">
        <v>0</v>
      </c>
      <c r="E65" s="104">
        <f t="shared" si="8"/>
        <v>0</v>
      </c>
      <c r="F65" s="128"/>
      <c r="G65" s="128" t="s">
        <v>497</v>
      </c>
      <c r="H65" s="101">
        <v>0</v>
      </c>
      <c r="I65" s="187">
        <v>0</v>
      </c>
      <c r="J65" s="104">
        <f t="shared" si="9"/>
        <v>0</v>
      </c>
      <c r="K65" s="259"/>
      <c r="L65" s="259"/>
      <c r="M65" s="259"/>
      <c r="N65" s="259"/>
      <c r="O65" s="259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</row>
    <row r="66" spans="1:26" ht="14.4" outlineLevel="1" x14ac:dyDescent="0.3">
      <c r="A66" s="128"/>
      <c r="B66" s="128" t="s">
        <v>498</v>
      </c>
      <c r="C66" s="101">
        <v>0</v>
      </c>
      <c r="D66" s="187">
        <v>0</v>
      </c>
      <c r="E66" s="104">
        <f t="shared" si="8"/>
        <v>0</v>
      </c>
      <c r="F66" s="128"/>
      <c r="G66" s="128"/>
      <c r="H66" s="101">
        <v>0</v>
      </c>
      <c r="I66" s="187">
        <v>0</v>
      </c>
      <c r="J66" s="104">
        <f t="shared" si="9"/>
        <v>0</v>
      </c>
      <c r="K66" s="259"/>
      <c r="L66" s="259"/>
      <c r="M66" s="259"/>
      <c r="N66" s="259"/>
      <c r="O66" s="259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</row>
    <row r="67" spans="1:26" ht="14.4" outlineLevel="1" x14ac:dyDescent="0.3">
      <c r="A67" s="128"/>
      <c r="B67" s="128" t="s">
        <v>499</v>
      </c>
      <c r="C67" s="101">
        <v>0</v>
      </c>
      <c r="D67" s="187">
        <v>0</v>
      </c>
      <c r="E67" s="104">
        <f t="shared" si="8"/>
        <v>0</v>
      </c>
      <c r="F67" s="128"/>
      <c r="G67" s="128"/>
      <c r="H67" s="101">
        <v>0</v>
      </c>
      <c r="I67" s="187">
        <v>0</v>
      </c>
      <c r="J67" s="104">
        <f t="shared" si="9"/>
        <v>0</v>
      </c>
      <c r="K67" s="259"/>
      <c r="L67" s="259"/>
      <c r="M67" s="259"/>
      <c r="N67" s="259"/>
      <c r="O67" s="259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</row>
    <row r="68" spans="1:26" ht="14.4" outlineLevel="1" x14ac:dyDescent="0.3">
      <c r="A68" s="128"/>
      <c r="B68" s="128" t="s">
        <v>500</v>
      </c>
      <c r="C68" s="101">
        <v>0</v>
      </c>
      <c r="D68" s="187">
        <v>0</v>
      </c>
      <c r="E68" s="104">
        <f t="shared" si="8"/>
        <v>0</v>
      </c>
      <c r="F68" s="128"/>
      <c r="G68" s="128"/>
      <c r="H68" s="101">
        <v>0</v>
      </c>
      <c r="I68" s="187">
        <v>0</v>
      </c>
      <c r="J68" s="104">
        <f t="shared" si="9"/>
        <v>0</v>
      </c>
      <c r="K68" s="259"/>
      <c r="L68" s="259"/>
      <c r="M68" s="259"/>
      <c r="N68" s="259"/>
      <c r="O68" s="259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</row>
    <row r="69" spans="1:26" ht="14.4" outlineLevel="1" x14ac:dyDescent="0.3">
      <c r="A69" s="128"/>
      <c r="B69" s="128" t="s">
        <v>501</v>
      </c>
      <c r="C69" s="101">
        <v>0</v>
      </c>
      <c r="D69" s="187">
        <v>0</v>
      </c>
      <c r="E69" s="104">
        <f t="shared" si="8"/>
        <v>0</v>
      </c>
      <c r="F69" s="128"/>
      <c r="H69" s="101">
        <v>0</v>
      </c>
      <c r="I69" s="187">
        <v>0</v>
      </c>
      <c r="J69" s="104">
        <f t="shared" si="9"/>
        <v>0</v>
      </c>
      <c r="K69" s="259"/>
      <c r="L69" s="259"/>
      <c r="M69" s="259"/>
      <c r="N69" s="259"/>
      <c r="O69" s="259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</row>
    <row r="70" spans="1:26" ht="14.4" outlineLevel="1" x14ac:dyDescent="0.3">
      <c r="A70" s="128"/>
      <c r="B70" s="128" t="s">
        <v>502</v>
      </c>
      <c r="C70" s="101">
        <v>0</v>
      </c>
      <c r="D70" s="187">
        <v>0</v>
      </c>
      <c r="E70" s="104">
        <f t="shared" si="8"/>
        <v>0</v>
      </c>
      <c r="F70" s="128"/>
      <c r="H70" s="101">
        <v>0</v>
      </c>
      <c r="I70" s="187">
        <v>0</v>
      </c>
      <c r="J70" s="104">
        <f t="shared" si="9"/>
        <v>0</v>
      </c>
      <c r="K70" s="259"/>
      <c r="L70" s="259"/>
      <c r="M70" s="259"/>
      <c r="N70" s="259"/>
      <c r="O70" s="259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</row>
    <row r="71" spans="1:26" ht="14.4" outlineLevel="1" x14ac:dyDescent="0.3">
      <c r="A71" s="128"/>
      <c r="B71" s="128" t="s">
        <v>503</v>
      </c>
      <c r="C71" s="101">
        <v>0</v>
      </c>
      <c r="D71" s="187">
        <v>0</v>
      </c>
      <c r="E71" s="104">
        <f t="shared" si="8"/>
        <v>0</v>
      </c>
      <c r="F71" s="128"/>
      <c r="H71" s="101">
        <v>0</v>
      </c>
      <c r="I71" s="187">
        <v>0</v>
      </c>
      <c r="J71" s="104">
        <f t="shared" si="9"/>
        <v>0</v>
      </c>
      <c r="K71" s="259"/>
      <c r="L71" s="259"/>
      <c r="M71" s="259"/>
      <c r="N71" s="259"/>
      <c r="O71" s="259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</row>
    <row r="72" spans="1:26" ht="14.4" outlineLevel="1" x14ac:dyDescent="0.3">
      <c r="A72" s="128"/>
      <c r="B72" s="128" t="s">
        <v>504</v>
      </c>
      <c r="C72" s="101">
        <v>0</v>
      </c>
      <c r="D72" s="187">
        <v>0</v>
      </c>
      <c r="E72" s="104">
        <f t="shared" si="8"/>
        <v>0</v>
      </c>
      <c r="F72" s="128"/>
      <c r="G72" s="128"/>
      <c r="H72" s="128"/>
      <c r="I72" s="187">
        <v>0</v>
      </c>
      <c r="J72" s="104">
        <f t="shared" si="9"/>
        <v>0</v>
      </c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</row>
    <row r="73" spans="1:26" ht="14.4" x14ac:dyDescent="0.3">
      <c r="A73" s="128"/>
      <c r="B73" s="189"/>
      <c r="C73" s="181"/>
      <c r="D73" s="181" t="s">
        <v>505</v>
      </c>
      <c r="E73" s="182">
        <f>SUM(E63:E72)</f>
        <v>0</v>
      </c>
      <c r="F73" s="128"/>
      <c r="G73" s="189"/>
      <c r="H73" s="181"/>
      <c r="I73" s="181" t="s">
        <v>505</v>
      </c>
      <c r="J73" s="182">
        <f>SUM(J63:J72)</f>
        <v>0</v>
      </c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</row>
    <row r="74" spans="1:26" ht="15" customHeight="1" x14ac:dyDescent="0.3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</row>
    <row r="75" spans="1:26" ht="14.4" x14ac:dyDescent="0.3">
      <c r="A75" s="128"/>
      <c r="B75" s="283" t="s">
        <v>506</v>
      </c>
      <c r="C75" s="259"/>
      <c r="D75" s="259"/>
      <c r="E75" s="259"/>
      <c r="F75" s="259"/>
      <c r="G75" s="259"/>
      <c r="H75" s="259"/>
      <c r="I75" s="259"/>
      <c r="J75" s="259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</row>
    <row r="76" spans="1:26" ht="14.4" outlineLevel="1" x14ac:dyDescent="0.3">
      <c r="A76" s="128"/>
      <c r="B76" s="183" t="s">
        <v>7</v>
      </c>
      <c r="C76" s="184" t="s">
        <v>9</v>
      </c>
      <c r="D76" s="184" t="s">
        <v>473</v>
      </c>
      <c r="E76" s="184" t="s">
        <v>235</v>
      </c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</row>
    <row r="77" spans="1:26" ht="14.4" outlineLevel="1" x14ac:dyDescent="0.3">
      <c r="A77" s="128"/>
      <c r="B77" s="128" t="s">
        <v>507</v>
      </c>
      <c r="C77" s="101">
        <v>0</v>
      </c>
      <c r="D77" s="187">
        <v>0</v>
      </c>
      <c r="E77" s="186">
        <f t="shared" ref="E77:E80" si="10">D77*C77</f>
        <v>0</v>
      </c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</row>
    <row r="78" spans="1:26" ht="14.4" outlineLevel="1" x14ac:dyDescent="0.3">
      <c r="A78" s="128"/>
      <c r="B78" s="128" t="s">
        <v>508</v>
      </c>
      <c r="C78" s="101">
        <v>0</v>
      </c>
      <c r="D78" s="187">
        <v>0</v>
      </c>
      <c r="E78" s="186">
        <f t="shared" si="10"/>
        <v>0</v>
      </c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</row>
    <row r="79" spans="1:26" ht="14.4" outlineLevel="1" x14ac:dyDescent="0.3">
      <c r="A79" s="128"/>
      <c r="B79" s="128" t="s">
        <v>509</v>
      </c>
      <c r="C79" s="101">
        <v>0</v>
      </c>
      <c r="D79" s="187">
        <v>0</v>
      </c>
      <c r="E79" s="186">
        <f t="shared" si="10"/>
        <v>0</v>
      </c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</row>
    <row r="80" spans="1:26" ht="14.4" outlineLevel="1" x14ac:dyDescent="0.3">
      <c r="A80" s="128"/>
      <c r="B80" s="128" t="s">
        <v>510</v>
      </c>
      <c r="C80" s="101">
        <v>0</v>
      </c>
      <c r="D80" s="187">
        <v>0</v>
      </c>
      <c r="E80" s="186">
        <f t="shared" si="10"/>
        <v>0</v>
      </c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</row>
    <row r="81" spans="1:26" ht="14.4" x14ac:dyDescent="0.3">
      <c r="A81" s="128"/>
      <c r="B81" s="189"/>
      <c r="C81" s="181"/>
      <c r="D81" s="181" t="s">
        <v>511</v>
      </c>
      <c r="E81" s="182">
        <f>SUM(E77:E80)</f>
        <v>0</v>
      </c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</row>
    <row r="82" spans="1:26" ht="14.4" x14ac:dyDescent="0.3">
      <c r="A82" s="128"/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</row>
    <row r="83" spans="1:26" ht="14.4" x14ac:dyDescent="0.3">
      <c r="A83" s="128"/>
      <c r="B83" s="283" t="s">
        <v>512</v>
      </c>
      <c r="C83" s="259"/>
      <c r="D83" s="259"/>
      <c r="E83" s="259"/>
      <c r="F83" s="259"/>
      <c r="G83" s="259"/>
      <c r="H83" s="259"/>
      <c r="I83" s="259"/>
      <c r="J83" s="259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</row>
    <row r="84" spans="1:26" ht="14.4" outlineLevel="1" x14ac:dyDescent="0.3">
      <c r="A84" s="128"/>
      <c r="B84" s="183" t="s">
        <v>7</v>
      </c>
      <c r="C84" s="184" t="s">
        <v>9</v>
      </c>
      <c r="D84" s="184" t="s">
        <v>473</v>
      </c>
      <c r="E84" s="184" t="s">
        <v>235</v>
      </c>
      <c r="F84" s="128"/>
      <c r="G84" s="183" t="s">
        <v>7</v>
      </c>
      <c r="H84" s="184" t="s">
        <v>9</v>
      </c>
      <c r="I84" s="184" t="s">
        <v>473</v>
      </c>
      <c r="J84" s="184" t="s">
        <v>235</v>
      </c>
      <c r="K84" s="279" t="s">
        <v>412</v>
      </c>
      <c r="L84" s="259"/>
      <c r="M84" s="259"/>
      <c r="N84" s="259"/>
      <c r="O84" s="259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</row>
    <row r="85" spans="1:26" ht="14.4" outlineLevel="1" x14ac:dyDescent="0.3">
      <c r="A85" s="128"/>
      <c r="B85" s="128" t="s">
        <v>513</v>
      </c>
      <c r="C85" s="101"/>
      <c r="D85" s="187">
        <v>0</v>
      </c>
      <c r="E85" s="186">
        <f t="shared" ref="E85:E90" si="11">D85*C85</f>
        <v>0</v>
      </c>
      <c r="F85" s="128"/>
      <c r="G85" s="128" t="s">
        <v>514</v>
      </c>
      <c r="H85" s="101">
        <v>0</v>
      </c>
      <c r="I85" s="187">
        <v>0</v>
      </c>
      <c r="J85" s="186">
        <f t="shared" ref="J85:J90" si="12">I85*H85</f>
        <v>0</v>
      </c>
      <c r="K85" s="279" t="s">
        <v>515</v>
      </c>
      <c r="L85" s="259"/>
      <c r="M85" s="259"/>
      <c r="N85" s="259"/>
      <c r="O85" s="259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</row>
    <row r="86" spans="1:26" ht="14.4" outlineLevel="1" x14ac:dyDescent="0.3">
      <c r="A86" s="128"/>
      <c r="B86" s="128" t="s">
        <v>516</v>
      </c>
      <c r="C86" s="101">
        <v>0</v>
      </c>
      <c r="D86" s="187">
        <v>0</v>
      </c>
      <c r="E86" s="186">
        <f t="shared" si="11"/>
        <v>0</v>
      </c>
      <c r="F86" s="128"/>
      <c r="G86" s="128" t="s">
        <v>517</v>
      </c>
      <c r="H86" s="101">
        <v>0</v>
      </c>
      <c r="I86" s="187">
        <v>0</v>
      </c>
      <c r="J86" s="186">
        <f t="shared" si="12"/>
        <v>0</v>
      </c>
      <c r="K86" s="259"/>
      <c r="L86" s="259"/>
      <c r="M86" s="259"/>
      <c r="N86" s="259"/>
      <c r="O86" s="259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</row>
    <row r="87" spans="1:26" ht="14.4" outlineLevel="1" x14ac:dyDescent="0.3">
      <c r="A87" s="128"/>
      <c r="B87" s="128" t="s">
        <v>518</v>
      </c>
      <c r="C87" s="101"/>
      <c r="D87" s="187">
        <v>0</v>
      </c>
      <c r="E87" s="186">
        <f t="shared" si="11"/>
        <v>0</v>
      </c>
      <c r="F87" s="128"/>
      <c r="G87" s="128" t="s">
        <v>519</v>
      </c>
      <c r="H87" s="101">
        <v>0</v>
      </c>
      <c r="I87" s="187">
        <v>0</v>
      </c>
      <c r="J87" s="186">
        <f t="shared" si="12"/>
        <v>0</v>
      </c>
      <c r="K87" s="259"/>
      <c r="L87" s="259"/>
      <c r="M87" s="259"/>
      <c r="N87" s="259"/>
      <c r="O87" s="259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</row>
    <row r="88" spans="1:26" ht="14.4" outlineLevel="1" x14ac:dyDescent="0.3">
      <c r="A88" s="128"/>
      <c r="B88" s="128" t="s">
        <v>520</v>
      </c>
      <c r="C88" s="101"/>
      <c r="D88" s="187">
        <v>0</v>
      </c>
      <c r="E88" s="186">
        <f t="shared" si="11"/>
        <v>0</v>
      </c>
      <c r="F88" s="128"/>
      <c r="G88" s="128" t="s">
        <v>521</v>
      </c>
      <c r="H88" s="101">
        <v>0</v>
      </c>
      <c r="I88" s="187">
        <v>0</v>
      </c>
      <c r="J88" s="186">
        <f t="shared" si="12"/>
        <v>0</v>
      </c>
      <c r="K88" s="259"/>
      <c r="L88" s="259"/>
      <c r="M88" s="259"/>
      <c r="N88" s="259"/>
      <c r="O88" s="259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</row>
    <row r="89" spans="1:26" ht="14.4" outlineLevel="1" x14ac:dyDescent="0.3">
      <c r="A89" s="128"/>
      <c r="B89" s="128" t="s">
        <v>522</v>
      </c>
      <c r="C89" s="101">
        <v>0</v>
      </c>
      <c r="D89" s="187">
        <v>0</v>
      </c>
      <c r="E89" s="186">
        <f t="shared" si="11"/>
        <v>0</v>
      </c>
      <c r="F89" s="128"/>
      <c r="G89" s="128" t="s">
        <v>523</v>
      </c>
      <c r="H89" s="101">
        <v>0</v>
      </c>
      <c r="I89" s="187">
        <v>0</v>
      </c>
      <c r="J89" s="186">
        <f t="shared" si="12"/>
        <v>0</v>
      </c>
      <c r="K89" s="259"/>
      <c r="L89" s="259"/>
      <c r="M89" s="259"/>
      <c r="N89" s="259"/>
      <c r="O89" s="259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</row>
    <row r="90" spans="1:26" ht="14.4" outlineLevel="1" x14ac:dyDescent="0.3">
      <c r="A90" s="128"/>
      <c r="B90" s="128" t="s">
        <v>524</v>
      </c>
      <c r="C90" s="101">
        <v>0</v>
      </c>
      <c r="D90" s="187">
        <v>0</v>
      </c>
      <c r="E90" s="186">
        <f t="shared" si="11"/>
        <v>0</v>
      </c>
      <c r="F90" s="128"/>
      <c r="G90" s="128" t="s">
        <v>525</v>
      </c>
      <c r="H90" s="101">
        <v>0</v>
      </c>
      <c r="I90" s="187">
        <v>0</v>
      </c>
      <c r="J90" s="186">
        <f t="shared" si="12"/>
        <v>0</v>
      </c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</row>
    <row r="91" spans="1:26" ht="14.4" x14ac:dyDescent="0.3">
      <c r="A91" s="128"/>
      <c r="B91" s="189"/>
      <c r="C91" s="181"/>
      <c r="D91" s="181" t="s">
        <v>526</v>
      </c>
      <c r="E91" s="182">
        <f>SUM(E85:E90)</f>
        <v>0</v>
      </c>
      <c r="F91" s="128"/>
      <c r="G91" s="189"/>
      <c r="H91" s="181"/>
      <c r="I91" s="181" t="s">
        <v>526</v>
      </c>
      <c r="J91" s="182">
        <f>SUM(J85:J90)</f>
        <v>0</v>
      </c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</row>
    <row r="92" spans="1:26" ht="14.4" x14ac:dyDescent="0.3">
      <c r="A92" s="128"/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</row>
    <row r="93" spans="1:26" ht="14.4" x14ac:dyDescent="0.3">
      <c r="A93" s="128"/>
      <c r="B93" s="283" t="s">
        <v>527</v>
      </c>
      <c r="C93" s="259"/>
      <c r="D93" s="259"/>
      <c r="E93" s="259"/>
      <c r="F93" s="259"/>
      <c r="G93" s="259"/>
      <c r="H93" s="259"/>
      <c r="I93" s="259"/>
      <c r="J93" s="259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</row>
    <row r="94" spans="1:26" ht="14.4" outlineLevel="1" x14ac:dyDescent="0.3">
      <c r="A94" s="128"/>
      <c r="B94" s="183" t="s">
        <v>7</v>
      </c>
      <c r="C94" s="184" t="s">
        <v>9</v>
      </c>
      <c r="D94" s="184" t="s">
        <v>473</v>
      </c>
      <c r="E94" s="184" t="s">
        <v>235</v>
      </c>
      <c r="F94" s="128"/>
      <c r="G94" s="183" t="s">
        <v>7</v>
      </c>
      <c r="H94" s="184" t="s">
        <v>9</v>
      </c>
      <c r="I94" s="184" t="s">
        <v>473</v>
      </c>
      <c r="J94" s="184" t="s">
        <v>235</v>
      </c>
      <c r="K94" s="279" t="s">
        <v>412</v>
      </c>
      <c r="L94" s="259"/>
      <c r="M94" s="259"/>
      <c r="N94" s="259"/>
      <c r="O94" s="259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</row>
    <row r="95" spans="1:26" ht="14.4" outlineLevel="1" x14ac:dyDescent="0.3">
      <c r="A95" s="128"/>
      <c r="B95" s="128" t="s">
        <v>528</v>
      </c>
      <c r="C95" s="101">
        <v>0</v>
      </c>
      <c r="D95" s="187">
        <v>0</v>
      </c>
      <c r="E95" s="186">
        <f t="shared" ref="E95:E115" si="13">D95*C95</f>
        <v>0</v>
      </c>
      <c r="F95" s="128"/>
      <c r="G95" s="128" t="s">
        <v>529</v>
      </c>
      <c r="H95" s="101">
        <v>2</v>
      </c>
      <c r="I95" s="187">
        <v>0</v>
      </c>
      <c r="J95" s="191">
        <f t="shared" ref="J95:J114" si="14">I95*H95</f>
        <v>0</v>
      </c>
      <c r="K95" s="279" t="s">
        <v>515</v>
      </c>
      <c r="L95" s="259"/>
      <c r="M95" s="259"/>
      <c r="N95" s="259"/>
      <c r="O95" s="259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</row>
    <row r="96" spans="1:26" ht="14.4" outlineLevel="1" x14ac:dyDescent="0.3">
      <c r="A96" s="128"/>
      <c r="B96" s="128" t="s">
        <v>530</v>
      </c>
      <c r="C96" s="101">
        <v>2</v>
      </c>
      <c r="D96" s="187">
        <v>0</v>
      </c>
      <c r="E96" s="186">
        <f t="shared" si="13"/>
        <v>0</v>
      </c>
      <c r="F96" s="128"/>
      <c r="G96" s="128" t="s">
        <v>531</v>
      </c>
      <c r="H96" s="101">
        <v>0</v>
      </c>
      <c r="I96" s="187">
        <v>0</v>
      </c>
      <c r="J96" s="191">
        <f t="shared" si="14"/>
        <v>0</v>
      </c>
      <c r="K96" s="259"/>
      <c r="L96" s="259"/>
      <c r="M96" s="259"/>
      <c r="N96" s="259"/>
      <c r="O96" s="259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</row>
    <row r="97" spans="1:26" ht="14.4" outlineLevel="1" x14ac:dyDescent="0.3">
      <c r="A97" s="128"/>
      <c r="B97" s="128" t="s">
        <v>532</v>
      </c>
      <c r="C97" s="101">
        <v>0</v>
      </c>
      <c r="D97" s="187">
        <v>0</v>
      </c>
      <c r="E97" s="186">
        <f t="shared" si="13"/>
        <v>0</v>
      </c>
      <c r="F97" s="128"/>
      <c r="G97" s="128" t="s">
        <v>533</v>
      </c>
      <c r="H97" s="101">
        <v>0</v>
      </c>
      <c r="I97" s="187">
        <v>0</v>
      </c>
      <c r="J97" s="191">
        <f t="shared" si="14"/>
        <v>0</v>
      </c>
      <c r="K97" s="259"/>
      <c r="L97" s="259"/>
      <c r="M97" s="259"/>
      <c r="N97" s="259"/>
      <c r="O97" s="259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</row>
    <row r="98" spans="1:26" ht="14.4" outlineLevel="1" x14ac:dyDescent="0.3">
      <c r="A98" s="128"/>
      <c r="B98" s="128" t="s">
        <v>534</v>
      </c>
      <c r="C98" s="101">
        <v>0</v>
      </c>
      <c r="D98" s="187">
        <v>0</v>
      </c>
      <c r="E98" s="186">
        <f t="shared" si="13"/>
        <v>0</v>
      </c>
      <c r="F98" s="128"/>
      <c r="G98" s="128" t="s">
        <v>535</v>
      </c>
      <c r="H98" s="101">
        <v>0</v>
      </c>
      <c r="I98" s="187">
        <v>0</v>
      </c>
      <c r="J98" s="191">
        <f t="shared" si="14"/>
        <v>0</v>
      </c>
      <c r="K98" s="259"/>
      <c r="L98" s="259"/>
      <c r="M98" s="259"/>
      <c r="N98" s="259"/>
      <c r="O98" s="259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</row>
    <row r="99" spans="1:26" ht="14.4" outlineLevel="1" x14ac:dyDescent="0.3">
      <c r="A99" s="128"/>
      <c r="B99" s="128" t="s">
        <v>536</v>
      </c>
      <c r="C99" s="101">
        <v>0</v>
      </c>
      <c r="D99" s="187">
        <v>0</v>
      </c>
      <c r="E99" s="186">
        <f t="shared" si="13"/>
        <v>0</v>
      </c>
      <c r="F99" s="128"/>
      <c r="G99" s="128" t="s">
        <v>537</v>
      </c>
      <c r="H99" s="101">
        <v>0</v>
      </c>
      <c r="I99" s="187">
        <v>0</v>
      </c>
      <c r="J99" s="191">
        <f t="shared" si="14"/>
        <v>0</v>
      </c>
      <c r="K99" s="259"/>
      <c r="L99" s="259"/>
      <c r="M99" s="259"/>
      <c r="N99" s="259"/>
      <c r="O99" s="259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</row>
    <row r="100" spans="1:26" ht="14.4" outlineLevel="1" x14ac:dyDescent="0.3">
      <c r="A100" s="128"/>
      <c r="B100" s="128" t="s">
        <v>538</v>
      </c>
      <c r="C100" s="101">
        <v>0</v>
      </c>
      <c r="D100" s="187">
        <v>0</v>
      </c>
      <c r="E100" s="186">
        <f t="shared" si="13"/>
        <v>0</v>
      </c>
      <c r="F100" s="128"/>
      <c r="G100" s="128" t="s">
        <v>539</v>
      </c>
      <c r="H100" s="101">
        <v>0</v>
      </c>
      <c r="I100" s="187">
        <v>0</v>
      </c>
      <c r="J100" s="191">
        <f t="shared" si="14"/>
        <v>0</v>
      </c>
      <c r="K100" s="259"/>
      <c r="L100" s="259"/>
      <c r="M100" s="259"/>
      <c r="N100" s="259"/>
      <c r="O100" s="259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</row>
    <row r="101" spans="1:26" ht="14.4" outlineLevel="1" x14ac:dyDescent="0.3">
      <c r="A101" s="128"/>
      <c r="B101" s="128" t="s">
        <v>540</v>
      </c>
      <c r="C101" s="101">
        <v>0</v>
      </c>
      <c r="D101" s="187">
        <v>0</v>
      </c>
      <c r="E101" s="186">
        <f t="shared" si="13"/>
        <v>0</v>
      </c>
      <c r="F101" s="128"/>
      <c r="G101" s="128" t="s">
        <v>541</v>
      </c>
      <c r="H101" s="101">
        <v>0</v>
      </c>
      <c r="I101" s="187">
        <v>0</v>
      </c>
      <c r="J101" s="191">
        <f t="shared" si="14"/>
        <v>0</v>
      </c>
      <c r="K101" s="259"/>
      <c r="L101" s="259"/>
      <c r="M101" s="259"/>
      <c r="N101" s="259"/>
      <c r="O101" s="259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</row>
    <row r="102" spans="1:26" ht="14.4" outlineLevel="1" x14ac:dyDescent="0.3">
      <c r="A102" s="128"/>
      <c r="B102" s="128" t="s">
        <v>542</v>
      </c>
      <c r="C102" s="101">
        <v>0</v>
      </c>
      <c r="D102" s="187">
        <v>0</v>
      </c>
      <c r="E102" s="186">
        <f t="shared" si="13"/>
        <v>0</v>
      </c>
      <c r="F102" s="128"/>
      <c r="G102" s="128" t="s">
        <v>543</v>
      </c>
      <c r="H102" s="101">
        <v>0</v>
      </c>
      <c r="I102" s="187">
        <v>0</v>
      </c>
      <c r="J102" s="191">
        <f t="shared" si="14"/>
        <v>0</v>
      </c>
      <c r="K102" s="259"/>
      <c r="L102" s="259"/>
      <c r="M102" s="259"/>
      <c r="N102" s="259"/>
      <c r="O102" s="259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</row>
    <row r="103" spans="1:26" ht="14.4" outlineLevel="1" x14ac:dyDescent="0.3">
      <c r="A103" s="128"/>
      <c r="B103" s="128" t="s">
        <v>544</v>
      </c>
      <c r="C103" s="101">
        <v>0</v>
      </c>
      <c r="D103" s="187">
        <v>0</v>
      </c>
      <c r="E103" s="186">
        <f t="shared" si="13"/>
        <v>0</v>
      </c>
      <c r="F103" s="128"/>
      <c r="G103" s="128" t="s">
        <v>545</v>
      </c>
      <c r="H103" s="101">
        <v>0</v>
      </c>
      <c r="I103" s="187">
        <v>0</v>
      </c>
      <c r="J103" s="191">
        <f t="shared" si="14"/>
        <v>0</v>
      </c>
      <c r="K103" s="259"/>
      <c r="L103" s="259"/>
      <c r="M103" s="259"/>
      <c r="N103" s="259"/>
      <c r="O103" s="259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</row>
    <row r="104" spans="1:26" ht="14.4" outlineLevel="1" x14ac:dyDescent="0.3">
      <c r="A104" s="128"/>
      <c r="B104" s="128" t="s">
        <v>546</v>
      </c>
      <c r="C104" s="101">
        <v>0</v>
      </c>
      <c r="D104" s="187">
        <v>0</v>
      </c>
      <c r="E104" s="186">
        <f t="shared" si="13"/>
        <v>0</v>
      </c>
      <c r="F104" s="128"/>
      <c r="G104" s="128" t="s">
        <v>547</v>
      </c>
      <c r="H104" s="101">
        <v>0</v>
      </c>
      <c r="I104" s="187">
        <v>0</v>
      </c>
      <c r="J104" s="191">
        <f t="shared" si="14"/>
        <v>0</v>
      </c>
      <c r="K104" s="259"/>
      <c r="L104" s="259"/>
      <c r="M104" s="259"/>
      <c r="N104" s="259"/>
      <c r="O104" s="259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</row>
    <row r="105" spans="1:26" ht="14.4" outlineLevel="1" x14ac:dyDescent="0.3">
      <c r="A105" s="128"/>
      <c r="B105" s="128" t="s">
        <v>548</v>
      </c>
      <c r="C105" s="101">
        <v>0</v>
      </c>
      <c r="D105" s="187">
        <v>0</v>
      </c>
      <c r="E105" s="186">
        <f t="shared" si="13"/>
        <v>0</v>
      </c>
      <c r="F105" s="128"/>
      <c r="G105" s="128" t="s">
        <v>549</v>
      </c>
      <c r="H105" s="101">
        <v>0</v>
      </c>
      <c r="I105" s="187">
        <v>0</v>
      </c>
      <c r="J105" s="191">
        <f t="shared" si="14"/>
        <v>0</v>
      </c>
      <c r="K105" s="259"/>
      <c r="L105" s="259"/>
      <c r="M105" s="259"/>
      <c r="N105" s="259"/>
      <c r="O105" s="259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</row>
    <row r="106" spans="1:26" ht="14.4" outlineLevel="1" x14ac:dyDescent="0.3">
      <c r="A106" s="128"/>
      <c r="B106" s="128" t="s">
        <v>550</v>
      </c>
      <c r="C106" s="101">
        <v>0</v>
      </c>
      <c r="D106" s="187">
        <v>0</v>
      </c>
      <c r="E106" s="186">
        <f t="shared" si="13"/>
        <v>0</v>
      </c>
      <c r="F106" s="128"/>
      <c r="G106" s="128" t="s">
        <v>551</v>
      </c>
      <c r="H106" s="101">
        <v>0</v>
      </c>
      <c r="I106" s="187">
        <v>0</v>
      </c>
      <c r="J106" s="191">
        <f t="shared" si="14"/>
        <v>0</v>
      </c>
      <c r="K106" s="259"/>
      <c r="L106" s="259"/>
      <c r="M106" s="259"/>
      <c r="N106" s="259"/>
      <c r="O106" s="259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</row>
    <row r="107" spans="1:26" ht="14.4" outlineLevel="1" x14ac:dyDescent="0.3">
      <c r="A107" s="128"/>
      <c r="B107" s="128" t="s">
        <v>552</v>
      </c>
      <c r="C107" s="101">
        <v>0</v>
      </c>
      <c r="D107" s="187">
        <v>0</v>
      </c>
      <c r="E107" s="186">
        <f t="shared" si="13"/>
        <v>0</v>
      </c>
      <c r="F107" s="128"/>
      <c r="G107" s="128" t="s">
        <v>553</v>
      </c>
      <c r="H107" s="101">
        <v>0</v>
      </c>
      <c r="I107" s="187">
        <v>0</v>
      </c>
      <c r="J107" s="191">
        <f t="shared" si="14"/>
        <v>0</v>
      </c>
      <c r="K107" s="259"/>
      <c r="L107" s="259"/>
      <c r="M107" s="259"/>
      <c r="N107" s="259"/>
      <c r="O107" s="259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</row>
    <row r="108" spans="1:26" ht="14.4" outlineLevel="1" x14ac:dyDescent="0.3">
      <c r="A108" s="128"/>
      <c r="B108" s="128" t="s">
        <v>554</v>
      </c>
      <c r="C108" s="101">
        <v>0</v>
      </c>
      <c r="D108" s="187">
        <v>0</v>
      </c>
      <c r="E108" s="186">
        <f t="shared" si="13"/>
        <v>0</v>
      </c>
      <c r="F108" s="128"/>
      <c r="G108" s="128" t="s">
        <v>555</v>
      </c>
      <c r="H108" s="101">
        <v>0</v>
      </c>
      <c r="I108" s="187">
        <v>0</v>
      </c>
      <c r="J108" s="191">
        <f t="shared" si="14"/>
        <v>0</v>
      </c>
      <c r="K108" s="259"/>
      <c r="L108" s="259"/>
      <c r="M108" s="259"/>
      <c r="N108" s="259"/>
      <c r="O108" s="259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</row>
    <row r="109" spans="1:26" ht="14.4" outlineLevel="1" x14ac:dyDescent="0.3">
      <c r="A109" s="128"/>
      <c r="B109" s="128" t="s">
        <v>556</v>
      </c>
      <c r="C109" s="101">
        <v>0</v>
      </c>
      <c r="D109" s="187">
        <v>0</v>
      </c>
      <c r="E109" s="186">
        <f t="shared" si="13"/>
        <v>0</v>
      </c>
      <c r="F109" s="128"/>
      <c r="G109" s="128" t="s">
        <v>557</v>
      </c>
      <c r="H109" s="101">
        <v>2</v>
      </c>
      <c r="I109" s="187">
        <v>0</v>
      </c>
      <c r="J109" s="191">
        <f t="shared" si="14"/>
        <v>0</v>
      </c>
      <c r="K109" s="259"/>
      <c r="L109" s="259"/>
      <c r="M109" s="259"/>
      <c r="N109" s="259"/>
      <c r="O109" s="259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</row>
    <row r="110" spans="1:26" ht="14.4" outlineLevel="1" x14ac:dyDescent="0.3">
      <c r="A110" s="128"/>
      <c r="B110" s="128" t="s">
        <v>558</v>
      </c>
      <c r="C110" s="101">
        <v>0</v>
      </c>
      <c r="D110" s="187">
        <v>0</v>
      </c>
      <c r="E110" s="186">
        <f t="shared" si="13"/>
        <v>0</v>
      </c>
      <c r="F110" s="128"/>
      <c r="G110" s="128" t="s">
        <v>559</v>
      </c>
      <c r="H110" s="101">
        <v>0</v>
      </c>
      <c r="I110" s="187">
        <v>0</v>
      </c>
      <c r="J110" s="191">
        <f t="shared" si="14"/>
        <v>0</v>
      </c>
      <c r="K110" s="259"/>
      <c r="L110" s="259"/>
      <c r="M110" s="259"/>
      <c r="N110" s="259"/>
      <c r="O110" s="259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</row>
    <row r="111" spans="1:26" ht="14.4" outlineLevel="1" x14ac:dyDescent="0.3">
      <c r="A111" s="128"/>
      <c r="B111" s="128" t="s">
        <v>560</v>
      </c>
      <c r="C111" s="101">
        <v>0</v>
      </c>
      <c r="D111" s="187">
        <v>0</v>
      </c>
      <c r="E111" s="186">
        <f t="shared" si="13"/>
        <v>0</v>
      </c>
      <c r="F111" s="128"/>
      <c r="G111" s="128" t="s">
        <v>561</v>
      </c>
      <c r="H111" s="101">
        <v>0</v>
      </c>
      <c r="I111" s="187">
        <v>0</v>
      </c>
      <c r="J111" s="191">
        <f t="shared" si="14"/>
        <v>0</v>
      </c>
      <c r="K111" s="259"/>
      <c r="L111" s="259"/>
      <c r="M111" s="259"/>
      <c r="N111" s="259"/>
      <c r="O111" s="259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</row>
    <row r="112" spans="1:26" ht="14.4" outlineLevel="1" x14ac:dyDescent="0.3">
      <c r="A112" s="128"/>
      <c r="B112" s="128" t="s">
        <v>562</v>
      </c>
      <c r="C112" s="101">
        <v>0</v>
      </c>
      <c r="D112" s="187">
        <v>0</v>
      </c>
      <c r="E112" s="186">
        <f t="shared" si="13"/>
        <v>0</v>
      </c>
      <c r="F112" s="128"/>
      <c r="G112" s="128" t="s">
        <v>563</v>
      </c>
      <c r="H112" s="101">
        <v>0</v>
      </c>
      <c r="I112" s="187">
        <v>0</v>
      </c>
      <c r="J112" s="191">
        <f t="shared" si="14"/>
        <v>0</v>
      </c>
      <c r="K112" s="259"/>
      <c r="L112" s="259"/>
      <c r="M112" s="259"/>
      <c r="N112" s="259"/>
      <c r="O112" s="259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</row>
    <row r="113" spans="1:26" ht="14.4" outlineLevel="1" x14ac:dyDescent="0.3">
      <c r="A113" s="128"/>
      <c r="B113" s="128" t="s">
        <v>564</v>
      </c>
      <c r="C113" s="101">
        <v>0</v>
      </c>
      <c r="D113" s="187">
        <v>0</v>
      </c>
      <c r="E113" s="186">
        <f t="shared" si="13"/>
        <v>0</v>
      </c>
      <c r="F113" s="128"/>
      <c r="G113" s="128" t="s">
        <v>565</v>
      </c>
      <c r="H113" s="101">
        <v>0</v>
      </c>
      <c r="I113" s="187">
        <v>0</v>
      </c>
      <c r="J113" s="191">
        <f t="shared" si="14"/>
        <v>0</v>
      </c>
      <c r="K113" s="259"/>
      <c r="L113" s="259"/>
      <c r="M113" s="259"/>
      <c r="N113" s="259"/>
      <c r="O113" s="259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</row>
    <row r="114" spans="1:26" ht="14.4" outlineLevel="1" x14ac:dyDescent="0.3">
      <c r="A114" s="128"/>
      <c r="B114" s="128" t="s">
        <v>480</v>
      </c>
      <c r="C114" s="101">
        <v>0</v>
      </c>
      <c r="D114" s="187">
        <v>0</v>
      </c>
      <c r="E114" s="186">
        <f t="shared" si="13"/>
        <v>0</v>
      </c>
      <c r="F114" s="128"/>
      <c r="G114" s="128" t="s">
        <v>566</v>
      </c>
      <c r="H114" s="101">
        <v>0</v>
      </c>
      <c r="I114" s="187">
        <v>0</v>
      </c>
      <c r="J114" s="191">
        <f t="shared" si="14"/>
        <v>0</v>
      </c>
      <c r="K114" s="259"/>
      <c r="L114" s="259"/>
      <c r="M114" s="259"/>
      <c r="N114" s="259"/>
      <c r="O114" s="259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</row>
    <row r="115" spans="1:26" ht="14.4" outlineLevel="1" x14ac:dyDescent="0.3">
      <c r="A115" s="128"/>
      <c r="B115" s="128" t="s">
        <v>567</v>
      </c>
      <c r="C115" s="101">
        <v>0</v>
      </c>
      <c r="D115" s="187">
        <v>0</v>
      </c>
      <c r="E115" s="186">
        <f t="shared" si="13"/>
        <v>0</v>
      </c>
      <c r="F115" s="128"/>
      <c r="G115" s="128"/>
      <c r="H115" s="128"/>
      <c r="I115" s="128"/>
      <c r="J115" s="128"/>
      <c r="K115" s="259"/>
      <c r="L115" s="259"/>
      <c r="M115" s="259"/>
      <c r="N115" s="259"/>
      <c r="O115" s="259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</row>
    <row r="116" spans="1:26" ht="14.4" x14ac:dyDescent="0.3">
      <c r="A116" s="128"/>
      <c r="B116" s="189"/>
      <c r="C116" s="181"/>
      <c r="D116" s="181" t="s">
        <v>568</v>
      </c>
      <c r="E116" s="182">
        <f>SUM(E95:E115)</f>
        <v>0</v>
      </c>
      <c r="F116" s="128"/>
      <c r="G116" s="189"/>
      <c r="H116" s="181"/>
      <c r="I116" s="181" t="s">
        <v>568</v>
      </c>
      <c r="J116" s="182">
        <f>SUM(J95:J115)</f>
        <v>0</v>
      </c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</row>
    <row r="117" spans="1:26" ht="14.4" x14ac:dyDescent="0.3">
      <c r="A117" s="128"/>
      <c r="B117" s="128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</row>
    <row r="118" spans="1:26" ht="14.4" x14ac:dyDescent="0.3">
      <c r="A118" s="128"/>
      <c r="B118" s="283" t="s">
        <v>569</v>
      </c>
      <c r="C118" s="259"/>
      <c r="D118" s="259"/>
      <c r="E118" s="259"/>
      <c r="F118" s="259"/>
      <c r="G118" s="259"/>
      <c r="H118" s="259"/>
      <c r="I118" s="259"/>
      <c r="J118" s="259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</row>
    <row r="119" spans="1:26" ht="14.4" outlineLevel="1" x14ac:dyDescent="0.3">
      <c r="A119" s="128"/>
      <c r="B119" s="183" t="s">
        <v>7</v>
      </c>
      <c r="C119" s="184" t="s">
        <v>9</v>
      </c>
      <c r="D119" s="184" t="s">
        <v>473</v>
      </c>
      <c r="E119" s="184" t="s">
        <v>235</v>
      </c>
      <c r="F119" s="128"/>
      <c r="G119" s="128"/>
      <c r="H119" s="128"/>
      <c r="I119" s="128"/>
      <c r="J119" s="128"/>
      <c r="K119" s="279" t="s">
        <v>412</v>
      </c>
      <c r="L119" s="259"/>
      <c r="M119" s="259"/>
      <c r="N119" s="259"/>
      <c r="O119" s="259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</row>
    <row r="120" spans="1:26" ht="14.4" outlineLevel="1" x14ac:dyDescent="0.3">
      <c r="A120" s="128"/>
      <c r="B120" s="128" t="s">
        <v>570</v>
      </c>
      <c r="C120" s="101">
        <v>0</v>
      </c>
      <c r="D120" s="187">
        <v>0</v>
      </c>
      <c r="E120" s="186">
        <f t="shared" ref="E120:E130" si="15">D120*C120</f>
        <v>0</v>
      </c>
      <c r="F120" s="128"/>
      <c r="G120" s="128"/>
      <c r="H120" s="128"/>
      <c r="I120" s="128"/>
      <c r="J120" s="128"/>
      <c r="K120" s="279" t="s">
        <v>571</v>
      </c>
      <c r="L120" s="259"/>
      <c r="M120" s="259"/>
      <c r="N120" s="259"/>
      <c r="O120" s="259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</row>
    <row r="121" spans="1:26" ht="14.4" outlineLevel="1" x14ac:dyDescent="0.3">
      <c r="A121" s="128"/>
      <c r="B121" s="128" t="s">
        <v>572</v>
      </c>
      <c r="C121" s="101">
        <v>0</v>
      </c>
      <c r="D121" s="187">
        <v>0</v>
      </c>
      <c r="E121" s="186">
        <f t="shared" si="15"/>
        <v>0</v>
      </c>
      <c r="F121" s="128"/>
      <c r="G121" s="128"/>
      <c r="H121" s="128"/>
      <c r="I121" s="128"/>
      <c r="J121" s="128"/>
      <c r="K121" s="259"/>
      <c r="L121" s="259"/>
      <c r="M121" s="259"/>
      <c r="N121" s="259"/>
      <c r="O121" s="259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</row>
    <row r="122" spans="1:26" ht="14.4" outlineLevel="1" x14ac:dyDescent="0.3">
      <c r="A122" s="128"/>
      <c r="B122" s="128" t="s">
        <v>573</v>
      </c>
      <c r="C122" s="101">
        <v>0</v>
      </c>
      <c r="D122" s="187">
        <v>0</v>
      </c>
      <c r="E122" s="186">
        <f t="shared" si="15"/>
        <v>0</v>
      </c>
      <c r="F122" s="128"/>
      <c r="G122" s="128"/>
      <c r="H122" s="128"/>
      <c r="I122" s="128"/>
      <c r="J122" s="128"/>
      <c r="K122" s="259"/>
      <c r="L122" s="259"/>
      <c r="M122" s="259"/>
      <c r="N122" s="259"/>
      <c r="O122" s="259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</row>
    <row r="123" spans="1:26" ht="14.4" outlineLevel="1" x14ac:dyDescent="0.3">
      <c r="A123" s="128"/>
      <c r="B123" s="128" t="s">
        <v>574</v>
      </c>
      <c r="C123" s="101">
        <v>0</v>
      </c>
      <c r="D123" s="187">
        <v>0</v>
      </c>
      <c r="E123" s="186">
        <f t="shared" si="15"/>
        <v>0</v>
      </c>
      <c r="F123" s="128"/>
      <c r="G123" s="128"/>
      <c r="H123" s="128"/>
      <c r="I123" s="128"/>
      <c r="J123" s="128"/>
      <c r="K123" s="259"/>
      <c r="L123" s="259"/>
      <c r="M123" s="259"/>
      <c r="N123" s="259"/>
      <c r="O123" s="259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</row>
    <row r="124" spans="1:26" ht="14.4" outlineLevel="1" x14ac:dyDescent="0.3">
      <c r="A124" s="128"/>
      <c r="B124" s="128" t="s">
        <v>575</v>
      </c>
      <c r="C124" s="101">
        <v>0</v>
      </c>
      <c r="D124" s="187">
        <v>0</v>
      </c>
      <c r="E124" s="186">
        <f t="shared" si="15"/>
        <v>0</v>
      </c>
      <c r="F124" s="128"/>
      <c r="G124" s="128"/>
      <c r="H124" s="128"/>
      <c r="I124" s="128"/>
      <c r="J124" s="128"/>
      <c r="K124" s="259"/>
      <c r="L124" s="259"/>
      <c r="M124" s="259"/>
      <c r="N124" s="259"/>
      <c r="O124" s="259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</row>
    <row r="125" spans="1:26" ht="14.4" outlineLevel="1" x14ac:dyDescent="0.3">
      <c r="A125" s="128"/>
      <c r="B125" s="128" t="s">
        <v>576</v>
      </c>
      <c r="C125" s="101">
        <v>0</v>
      </c>
      <c r="D125" s="187">
        <v>0</v>
      </c>
      <c r="E125" s="186">
        <f t="shared" si="15"/>
        <v>0</v>
      </c>
      <c r="F125" s="128"/>
      <c r="G125" s="128"/>
      <c r="H125" s="128"/>
      <c r="I125" s="128"/>
      <c r="J125" s="128"/>
      <c r="K125" s="259"/>
      <c r="L125" s="259"/>
      <c r="M125" s="259"/>
      <c r="N125" s="259"/>
      <c r="O125" s="259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</row>
    <row r="126" spans="1:26" ht="14.4" outlineLevel="1" x14ac:dyDescent="0.3">
      <c r="A126" s="128"/>
      <c r="B126" s="128" t="s">
        <v>577</v>
      </c>
      <c r="C126" s="101">
        <v>0</v>
      </c>
      <c r="D126" s="187">
        <v>0</v>
      </c>
      <c r="E126" s="186">
        <f t="shared" si="15"/>
        <v>0</v>
      </c>
      <c r="F126" s="128"/>
      <c r="G126" s="128"/>
      <c r="H126" s="128"/>
      <c r="I126" s="128"/>
      <c r="J126" s="128"/>
      <c r="K126" s="259"/>
      <c r="L126" s="259"/>
      <c r="M126" s="259"/>
      <c r="N126" s="259"/>
      <c r="O126" s="259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</row>
    <row r="127" spans="1:26" ht="14.4" outlineLevel="1" x14ac:dyDescent="0.3">
      <c r="A127" s="128"/>
      <c r="B127" s="128" t="s">
        <v>578</v>
      </c>
      <c r="C127" s="101">
        <v>0</v>
      </c>
      <c r="D127" s="187">
        <v>0</v>
      </c>
      <c r="E127" s="186">
        <f t="shared" si="15"/>
        <v>0</v>
      </c>
      <c r="F127" s="128"/>
      <c r="G127" s="128"/>
      <c r="H127" s="128"/>
      <c r="I127" s="128"/>
      <c r="J127" s="128"/>
      <c r="K127" s="259"/>
      <c r="L127" s="259"/>
      <c r="M127" s="259"/>
      <c r="N127" s="259"/>
      <c r="O127" s="259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</row>
    <row r="128" spans="1:26" ht="14.4" outlineLevel="1" x14ac:dyDescent="0.3">
      <c r="A128" s="128"/>
      <c r="B128" s="128" t="s">
        <v>579</v>
      </c>
      <c r="C128" s="101">
        <v>0</v>
      </c>
      <c r="D128" s="187">
        <v>0</v>
      </c>
      <c r="E128" s="186">
        <f t="shared" si="15"/>
        <v>0</v>
      </c>
      <c r="F128" s="128"/>
      <c r="G128" s="128"/>
      <c r="H128" s="128"/>
      <c r="I128" s="128"/>
      <c r="J128" s="128"/>
      <c r="K128" s="259"/>
      <c r="L128" s="259"/>
      <c r="M128" s="259"/>
      <c r="N128" s="259"/>
      <c r="O128" s="259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</row>
    <row r="129" spans="1:26" ht="14.4" outlineLevel="1" x14ac:dyDescent="0.3">
      <c r="A129" s="128"/>
      <c r="B129" s="128" t="s">
        <v>580</v>
      </c>
      <c r="C129" s="101">
        <v>0</v>
      </c>
      <c r="D129" s="187">
        <v>0</v>
      </c>
      <c r="E129" s="186">
        <f t="shared" si="15"/>
        <v>0</v>
      </c>
      <c r="F129" s="128"/>
      <c r="G129" s="128"/>
      <c r="H129" s="128"/>
      <c r="I129" s="128"/>
      <c r="J129" s="128"/>
      <c r="K129" s="259"/>
      <c r="L129" s="259"/>
      <c r="M129" s="259"/>
      <c r="N129" s="259"/>
      <c r="O129" s="259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</row>
    <row r="130" spans="1:26" ht="14.4" outlineLevel="1" x14ac:dyDescent="0.3">
      <c r="A130" s="128"/>
      <c r="B130" s="128" t="s">
        <v>581</v>
      </c>
      <c r="C130" s="101">
        <v>0</v>
      </c>
      <c r="D130" s="187">
        <v>0</v>
      </c>
      <c r="E130" s="186">
        <f t="shared" si="15"/>
        <v>0</v>
      </c>
      <c r="F130" s="128"/>
      <c r="G130" s="128"/>
      <c r="H130" s="128"/>
      <c r="I130" s="128"/>
      <c r="J130" s="128"/>
      <c r="K130" s="259"/>
      <c r="L130" s="259"/>
      <c r="M130" s="259"/>
      <c r="N130" s="259"/>
      <c r="O130" s="259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</row>
    <row r="131" spans="1:26" ht="14.4" x14ac:dyDescent="0.3">
      <c r="A131" s="128"/>
      <c r="B131" s="189"/>
      <c r="C131" s="181"/>
      <c r="D131" s="181" t="s">
        <v>582</v>
      </c>
      <c r="E131" s="182">
        <f>SUM(E120:E130)</f>
        <v>0</v>
      </c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</row>
    <row r="132" spans="1:26" ht="14.4" x14ac:dyDescent="0.3">
      <c r="A132" s="128"/>
      <c r="B132" s="128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</row>
    <row r="133" spans="1:26" ht="14.4" x14ac:dyDescent="0.3">
      <c r="A133" s="128"/>
      <c r="B133" s="283" t="s">
        <v>583</v>
      </c>
      <c r="C133" s="259"/>
      <c r="D133" s="259"/>
      <c r="E133" s="259"/>
      <c r="F133" s="259"/>
      <c r="G133" s="259"/>
      <c r="H133" s="259"/>
      <c r="I133" s="259"/>
      <c r="J133" s="259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</row>
    <row r="134" spans="1:26" ht="14.4" outlineLevel="1" x14ac:dyDescent="0.3">
      <c r="A134" s="128"/>
      <c r="B134" s="183" t="s">
        <v>7</v>
      </c>
      <c r="C134" s="184" t="s">
        <v>9</v>
      </c>
      <c r="D134" s="184" t="s">
        <v>473</v>
      </c>
      <c r="E134" s="184" t="s">
        <v>235</v>
      </c>
      <c r="F134" s="128"/>
      <c r="G134" s="128"/>
      <c r="H134" s="128"/>
      <c r="I134" s="128"/>
      <c r="J134" s="128"/>
      <c r="K134" s="279" t="s">
        <v>412</v>
      </c>
      <c r="L134" s="259"/>
      <c r="M134" s="259"/>
      <c r="N134" s="259"/>
      <c r="O134" s="259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</row>
    <row r="135" spans="1:26" ht="14.4" outlineLevel="1" x14ac:dyDescent="0.3">
      <c r="A135" s="128"/>
      <c r="B135" s="128" t="s">
        <v>584</v>
      </c>
      <c r="C135" s="101">
        <v>0</v>
      </c>
      <c r="D135" s="187">
        <v>0</v>
      </c>
      <c r="E135" s="186">
        <f t="shared" ref="E135:E142" si="16">D135*C135</f>
        <v>0</v>
      </c>
      <c r="F135" s="128"/>
      <c r="G135" s="128"/>
      <c r="H135" s="128"/>
      <c r="I135" s="128"/>
      <c r="J135" s="128"/>
      <c r="K135" s="279" t="s">
        <v>463</v>
      </c>
      <c r="L135" s="259"/>
      <c r="M135" s="259"/>
      <c r="N135" s="259"/>
      <c r="O135" s="259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</row>
    <row r="136" spans="1:26" ht="14.4" outlineLevel="1" x14ac:dyDescent="0.3">
      <c r="A136" s="128"/>
      <c r="B136" s="128" t="s">
        <v>585</v>
      </c>
      <c r="C136" s="101">
        <v>0</v>
      </c>
      <c r="D136" s="187">
        <v>0</v>
      </c>
      <c r="E136" s="186">
        <f t="shared" si="16"/>
        <v>0</v>
      </c>
      <c r="F136" s="128"/>
      <c r="G136" s="128"/>
      <c r="H136" s="128"/>
      <c r="I136" s="128"/>
      <c r="J136" s="128"/>
      <c r="K136" s="279" t="s">
        <v>571</v>
      </c>
      <c r="L136" s="259"/>
      <c r="M136" s="259"/>
      <c r="N136" s="259"/>
      <c r="O136" s="259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</row>
    <row r="137" spans="1:26" ht="14.4" outlineLevel="1" x14ac:dyDescent="0.3">
      <c r="A137" s="128"/>
      <c r="B137" s="128" t="s">
        <v>586</v>
      </c>
      <c r="C137" s="101">
        <v>0</v>
      </c>
      <c r="D137" s="187">
        <v>0</v>
      </c>
      <c r="E137" s="186">
        <f t="shared" si="16"/>
        <v>0</v>
      </c>
      <c r="F137" s="128"/>
      <c r="G137" s="128"/>
      <c r="H137" s="128"/>
      <c r="I137" s="128"/>
      <c r="J137" s="128"/>
      <c r="K137" s="259"/>
      <c r="L137" s="259"/>
      <c r="M137" s="259"/>
      <c r="N137" s="259"/>
      <c r="O137" s="259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</row>
    <row r="138" spans="1:26" ht="14.4" outlineLevel="1" x14ac:dyDescent="0.3">
      <c r="A138" s="128"/>
      <c r="B138" s="128" t="s">
        <v>587</v>
      </c>
      <c r="C138" s="101">
        <v>0</v>
      </c>
      <c r="D138" s="187">
        <v>0</v>
      </c>
      <c r="E138" s="186">
        <f t="shared" si="16"/>
        <v>0</v>
      </c>
      <c r="F138" s="128"/>
      <c r="G138" s="128"/>
      <c r="H138" s="128"/>
      <c r="I138" s="128"/>
      <c r="J138" s="128"/>
      <c r="K138" s="279" t="s">
        <v>588</v>
      </c>
      <c r="L138" s="259"/>
      <c r="M138" s="259"/>
      <c r="N138" s="259"/>
      <c r="O138" s="259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</row>
    <row r="139" spans="1:26" ht="14.4" outlineLevel="1" x14ac:dyDescent="0.3">
      <c r="A139" s="128"/>
      <c r="B139" s="128" t="s">
        <v>589</v>
      </c>
      <c r="C139" s="101">
        <v>0</v>
      </c>
      <c r="D139" s="187">
        <v>0</v>
      </c>
      <c r="E139" s="186">
        <f t="shared" si="16"/>
        <v>0</v>
      </c>
      <c r="F139" s="128"/>
      <c r="G139" s="128"/>
      <c r="H139" s="128"/>
      <c r="I139" s="128"/>
      <c r="J139" s="128"/>
      <c r="K139" s="259"/>
      <c r="L139" s="259"/>
      <c r="M139" s="259"/>
      <c r="N139" s="259"/>
      <c r="O139" s="259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</row>
    <row r="140" spans="1:26" ht="14.4" outlineLevel="1" x14ac:dyDescent="0.3">
      <c r="A140" s="128"/>
      <c r="B140" s="128" t="s">
        <v>590</v>
      </c>
      <c r="C140" s="101">
        <v>0</v>
      </c>
      <c r="D140" s="187">
        <v>0</v>
      </c>
      <c r="E140" s="186">
        <f t="shared" si="16"/>
        <v>0</v>
      </c>
      <c r="F140" s="128"/>
      <c r="G140" s="128"/>
      <c r="H140" s="128"/>
      <c r="I140" s="128"/>
      <c r="J140" s="128"/>
      <c r="K140" s="259"/>
      <c r="L140" s="259"/>
      <c r="M140" s="259"/>
      <c r="N140" s="259"/>
      <c r="O140" s="259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</row>
    <row r="141" spans="1:26" ht="14.4" outlineLevel="1" x14ac:dyDescent="0.3">
      <c r="A141" s="128"/>
      <c r="B141" s="128" t="s">
        <v>591</v>
      </c>
      <c r="C141" s="101">
        <v>0</v>
      </c>
      <c r="D141" s="187">
        <v>0</v>
      </c>
      <c r="E141" s="186">
        <f t="shared" si="16"/>
        <v>0</v>
      </c>
      <c r="F141" s="128"/>
      <c r="G141" s="128"/>
      <c r="H141" s="128"/>
      <c r="I141" s="128"/>
      <c r="J141" s="128"/>
      <c r="K141" s="259"/>
      <c r="L141" s="259"/>
      <c r="M141" s="259"/>
      <c r="N141" s="259"/>
      <c r="O141" s="259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</row>
    <row r="142" spans="1:26" ht="14.4" outlineLevel="1" x14ac:dyDescent="0.3">
      <c r="A142" s="128"/>
      <c r="B142" s="128" t="s">
        <v>592</v>
      </c>
      <c r="C142" s="101">
        <v>0</v>
      </c>
      <c r="D142" s="187">
        <v>0</v>
      </c>
      <c r="E142" s="186">
        <f t="shared" si="16"/>
        <v>0</v>
      </c>
      <c r="F142" s="128"/>
      <c r="G142" s="128"/>
      <c r="H142" s="128"/>
      <c r="I142" s="128"/>
      <c r="J142" s="128"/>
      <c r="K142" s="259"/>
      <c r="L142" s="259"/>
      <c r="M142" s="259"/>
      <c r="N142" s="259"/>
      <c r="O142" s="259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</row>
    <row r="143" spans="1:26" ht="14.4" x14ac:dyDescent="0.3">
      <c r="A143" s="128"/>
      <c r="B143" s="189"/>
      <c r="C143" s="181"/>
      <c r="D143" s="181" t="s">
        <v>593</v>
      </c>
      <c r="E143" s="182">
        <f>SUM(E135:E142)</f>
        <v>0</v>
      </c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</row>
    <row r="144" spans="1:26" ht="14.4" x14ac:dyDescent="0.3">
      <c r="A144" s="128"/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</row>
    <row r="145" spans="1:26" ht="14.4" x14ac:dyDescent="0.3">
      <c r="A145" s="128"/>
      <c r="B145" s="283" t="s">
        <v>594</v>
      </c>
      <c r="C145" s="259"/>
      <c r="D145" s="259"/>
      <c r="E145" s="259"/>
      <c r="F145" s="259"/>
      <c r="G145" s="259"/>
      <c r="H145" s="259"/>
      <c r="I145" s="259"/>
      <c r="J145" s="259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</row>
    <row r="146" spans="1:26" ht="14.4" outlineLevel="1" x14ac:dyDescent="0.3">
      <c r="A146" s="128"/>
      <c r="B146" s="183" t="s">
        <v>7</v>
      </c>
      <c r="C146" s="184" t="s">
        <v>9</v>
      </c>
      <c r="D146" s="184" t="s">
        <v>473</v>
      </c>
      <c r="E146" s="184" t="s">
        <v>235</v>
      </c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</row>
    <row r="147" spans="1:26" ht="14.4" outlineLevel="1" x14ac:dyDescent="0.3">
      <c r="A147" s="128"/>
      <c r="B147" s="128" t="s">
        <v>595</v>
      </c>
      <c r="C147" s="101">
        <v>0</v>
      </c>
      <c r="D147" s="192"/>
      <c r="E147" s="186">
        <f t="shared" ref="E147:E152" si="17">D147*C147</f>
        <v>0</v>
      </c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</row>
    <row r="148" spans="1:26" ht="14.4" outlineLevel="1" x14ac:dyDescent="0.3">
      <c r="A148" s="128"/>
      <c r="B148" s="128" t="s">
        <v>596</v>
      </c>
      <c r="C148" s="101">
        <v>0</v>
      </c>
      <c r="D148" s="192"/>
      <c r="E148" s="186">
        <f t="shared" si="17"/>
        <v>0</v>
      </c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</row>
    <row r="149" spans="1:26" ht="14.4" outlineLevel="1" x14ac:dyDescent="0.3">
      <c r="A149" s="128"/>
      <c r="B149" s="128" t="s">
        <v>597</v>
      </c>
      <c r="C149" s="101">
        <v>0</v>
      </c>
      <c r="D149" s="192"/>
      <c r="E149" s="186">
        <f t="shared" si="17"/>
        <v>0</v>
      </c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</row>
    <row r="150" spans="1:26" ht="14.4" outlineLevel="1" x14ac:dyDescent="0.3">
      <c r="A150" s="128"/>
      <c r="B150" s="128" t="s">
        <v>598</v>
      </c>
      <c r="C150" s="101">
        <v>0</v>
      </c>
      <c r="D150" s="192"/>
      <c r="E150" s="186">
        <f t="shared" si="17"/>
        <v>0</v>
      </c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</row>
    <row r="151" spans="1:26" ht="14.4" outlineLevel="1" x14ac:dyDescent="0.3">
      <c r="A151" s="128"/>
      <c r="B151" s="128" t="s">
        <v>599</v>
      </c>
      <c r="C151" s="101">
        <v>0</v>
      </c>
      <c r="D151" s="192"/>
      <c r="E151" s="186">
        <f t="shared" si="17"/>
        <v>0</v>
      </c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</row>
    <row r="152" spans="1:26" ht="14.4" outlineLevel="1" x14ac:dyDescent="0.3">
      <c r="A152" s="128"/>
      <c r="B152" s="128" t="s">
        <v>600</v>
      </c>
      <c r="C152" s="101">
        <v>0</v>
      </c>
      <c r="D152" s="192"/>
      <c r="E152" s="186">
        <f t="shared" si="17"/>
        <v>0</v>
      </c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</row>
    <row r="153" spans="1:26" ht="14.4" x14ac:dyDescent="0.3">
      <c r="A153" s="128"/>
      <c r="B153" s="189"/>
      <c r="C153" s="181"/>
      <c r="D153" s="181" t="s">
        <v>601</v>
      </c>
      <c r="E153" s="182">
        <f>SUM(E145:E152)</f>
        <v>0</v>
      </c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</row>
    <row r="154" spans="1:26" ht="14.4" x14ac:dyDescent="0.3">
      <c r="A154" s="128"/>
      <c r="B154" s="128"/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</row>
    <row r="155" spans="1:26" ht="14.4" x14ac:dyDescent="0.3">
      <c r="A155" s="128"/>
      <c r="B155" s="283" t="s">
        <v>602</v>
      </c>
      <c r="C155" s="259"/>
      <c r="D155" s="259"/>
      <c r="E155" s="259"/>
      <c r="F155" s="259"/>
      <c r="G155" s="259"/>
      <c r="H155" s="259"/>
      <c r="I155" s="259"/>
      <c r="J155" s="259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</row>
    <row r="156" spans="1:26" ht="14.4" outlineLevel="1" x14ac:dyDescent="0.3">
      <c r="A156" s="128"/>
      <c r="B156" s="183" t="s">
        <v>7</v>
      </c>
      <c r="C156" s="184" t="s">
        <v>9</v>
      </c>
      <c r="D156" s="184" t="s">
        <v>473</v>
      </c>
      <c r="E156" s="184" t="s">
        <v>235</v>
      </c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</row>
    <row r="157" spans="1:26" ht="14.4" outlineLevel="1" x14ac:dyDescent="0.3">
      <c r="A157" s="128"/>
      <c r="B157" s="128" t="s">
        <v>603</v>
      </c>
      <c r="C157" s="101">
        <v>0</v>
      </c>
      <c r="D157" s="187">
        <v>0</v>
      </c>
      <c r="E157" s="186">
        <f t="shared" ref="E157:E162" si="18">D157*C157</f>
        <v>0</v>
      </c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</row>
    <row r="158" spans="1:26" ht="14.4" outlineLevel="1" x14ac:dyDescent="0.3">
      <c r="A158" s="128"/>
      <c r="B158" s="128" t="s">
        <v>604</v>
      </c>
      <c r="C158" s="101">
        <v>0</v>
      </c>
      <c r="D158" s="187">
        <v>0</v>
      </c>
      <c r="E158" s="186">
        <f t="shared" si="18"/>
        <v>0</v>
      </c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</row>
    <row r="159" spans="1:26" ht="14.4" outlineLevel="1" x14ac:dyDescent="0.3">
      <c r="A159" s="128"/>
      <c r="B159" s="128" t="s">
        <v>605</v>
      </c>
      <c r="C159" s="101">
        <v>0</v>
      </c>
      <c r="D159" s="187">
        <v>0</v>
      </c>
      <c r="E159" s="186">
        <f t="shared" si="18"/>
        <v>0</v>
      </c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</row>
    <row r="160" spans="1:26" ht="14.4" outlineLevel="1" x14ac:dyDescent="0.3">
      <c r="A160" s="128"/>
      <c r="B160" s="128" t="s">
        <v>606</v>
      </c>
      <c r="C160" s="101">
        <v>0</v>
      </c>
      <c r="D160" s="187">
        <v>0</v>
      </c>
      <c r="E160" s="186">
        <f t="shared" si="18"/>
        <v>0</v>
      </c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</row>
    <row r="161" spans="1:26" ht="14.4" outlineLevel="1" x14ac:dyDescent="0.3">
      <c r="A161" s="128"/>
      <c r="B161" s="128" t="s">
        <v>607</v>
      </c>
      <c r="C161" s="101">
        <v>0</v>
      </c>
      <c r="D161" s="187">
        <v>0</v>
      </c>
      <c r="E161" s="186">
        <f t="shared" si="18"/>
        <v>0</v>
      </c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</row>
    <row r="162" spans="1:26" ht="14.4" outlineLevel="1" x14ac:dyDescent="0.3">
      <c r="A162" s="128"/>
      <c r="B162" s="128" t="s">
        <v>608</v>
      </c>
      <c r="C162" s="101">
        <v>0</v>
      </c>
      <c r="D162" s="187">
        <v>0</v>
      </c>
      <c r="E162" s="186">
        <f t="shared" si="18"/>
        <v>0</v>
      </c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</row>
    <row r="163" spans="1:26" ht="14.4" x14ac:dyDescent="0.3">
      <c r="A163" s="128"/>
      <c r="B163" s="189"/>
      <c r="C163" s="181"/>
      <c r="D163" s="181" t="s">
        <v>609</v>
      </c>
      <c r="E163" s="182">
        <f>SUM(E157:E162)</f>
        <v>0</v>
      </c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</row>
    <row r="164" spans="1:26" ht="14.4" x14ac:dyDescent="0.3">
      <c r="A164" s="128"/>
      <c r="B164" s="128"/>
      <c r="C164" s="128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</row>
    <row r="165" spans="1:26" ht="14.4" x14ac:dyDescent="0.3">
      <c r="A165" s="128"/>
      <c r="B165" s="283" t="s">
        <v>431</v>
      </c>
      <c r="C165" s="259"/>
      <c r="D165" s="259"/>
      <c r="E165" s="259"/>
      <c r="F165" s="259"/>
      <c r="G165" s="259"/>
      <c r="H165" s="259"/>
      <c r="I165" s="259"/>
      <c r="J165" s="259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</row>
    <row r="166" spans="1:26" ht="14.4" outlineLevel="1" x14ac:dyDescent="0.3">
      <c r="A166" s="128"/>
      <c r="B166" s="183" t="s">
        <v>7</v>
      </c>
      <c r="C166" s="184" t="s">
        <v>9</v>
      </c>
      <c r="D166" s="184" t="s">
        <v>473</v>
      </c>
      <c r="E166" s="184" t="s">
        <v>235</v>
      </c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</row>
    <row r="167" spans="1:26" ht="14.4" outlineLevel="1" x14ac:dyDescent="0.3">
      <c r="A167" s="128"/>
      <c r="B167" s="128" t="s">
        <v>610</v>
      </c>
      <c r="C167" s="101">
        <v>0</v>
      </c>
      <c r="D167" s="187">
        <v>0</v>
      </c>
      <c r="E167" s="186">
        <f t="shared" ref="E167:E179" si="19">D167*C167</f>
        <v>0</v>
      </c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</row>
    <row r="168" spans="1:26" ht="14.4" outlineLevel="1" x14ac:dyDescent="0.3">
      <c r="A168" s="128"/>
      <c r="B168" s="128" t="s">
        <v>611</v>
      </c>
      <c r="C168" s="101">
        <v>0</v>
      </c>
      <c r="D168" s="187">
        <v>0</v>
      </c>
      <c r="E168" s="186">
        <f t="shared" si="19"/>
        <v>0</v>
      </c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</row>
    <row r="169" spans="1:26" ht="14.4" outlineLevel="1" x14ac:dyDescent="0.3">
      <c r="A169" s="128"/>
      <c r="B169" s="128" t="s">
        <v>612</v>
      </c>
      <c r="C169" s="101">
        <v>0</v>
      </c>
      <c r="D169" s="187">
        <v>0</v>
      </c>
      <c r="E169" s="186">
        <f t="shared" si="19"/>
        <v>0</v>
      </c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</row>
    <row r="170" spans="1:26" ht="14.4" outlineLevel="1" x14ac:dyDescent="0.3">
      <c r="A170" s="128"/>
      <c r="B170" s="128" t="s">
        <v>613</v>
      </c>
      <c r="C170" s="101">
        <v>0</v>
      </c>
      <c r="D170" s="187">
        <v>0</v>
      </c>
      <c r="E170" s="186">
        <f t="shared" si="19"/>
        <v>0</v>
      </c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</row>
    <row r="171" spans="1:26" ht="14.4" outlineLevel="1" x14ac:dyDescent="0.3">
      <c r="A171" s="128"/>
      <c r="B171" s="128" t="s">
        <v>614</v>
      </c>
      <c r="C171" s="101">
        <v>0</v>
      </c>
      <c r="D171" s="187">
        <v>0</v>
      </c>
      <c r="E171" s="186">
        <f t="shared" si="19"/>
        <v>0</v>
      </c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</row>
    <row r="172" spans="1:26" ht="14.4" outlineLevel="1" x14ac:dyDescent="0.3">
      <c r="A172" s="128"/>
      <c r="B172" s="128" t="s">
        <v>615</v>
      </c>
      <c r="C172" s="101">
        <v>0</v>
      </c>
      <c r="D172" s="187">
        <v>0</v>
      </c>
      <c r="E172" s="186">
        <f t="shared" si="19"/>
        <v>0</v>
      </c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</row>
    <row r="173" spans="1:26" ht="14.4" outlineLevel="1" x14ac:dyDescent="0.3">
      <c r="A173" s="128"/>
      <c r="B173" s="128" t="s">
        <v>616</v>
      </c>
      <c r="C173" s="101">
        <v>0</v>
      </c>
      <c r="D173" s="187">
        <v>0</v>
      </c>
      <c r="E173" s="186">
        <f t="shared" si="19"/>
        <v>0</v>
      </c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</row>
    <row r="174" spans="1:26" ht="14.4" outlineLevel="1" x14ac:dyDescent="0.3">
      <c r="A174" s="128"/>
      <c r="B174" s="128" t="s">
        <v>617</v>
      </c>
      <c r="C174" s="101">
        <v>0</v>
      </c>
      <c r="D174" s="187">
        <v>0</v>
      </c>
      <c r="E174" s="186">
        <f t="shared" si="19"/>
        <v>0</v>
      </c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</row>
    <row r="175" spans="1:26" ht="14.4" outlineLevel="1" x14ac:dyDescent="0.3">
      <c r="A175" s="128"/>
      <c r="B175" s="128" t="s">
        <v>618</v>
      </c>
      <c r="C175" s="101">
        <v>0</v>
      </c>
      <c r="D175" s="187">
        <v>0</v>
      </c>
      <c r="E175" s="186">
        <f t="shared" si="19"/>
        <v>0</v>
      </c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</row>
    <row r="176" spans="1:26" ht="14.4" outlineLevel="1" x14ac:dyDescent="0.3">
      <c r="A176" s="128"/>
      <c r="B176" s="128" t="s">
        <v>619</v>
      </c>
      <c r="C176" s="101">
        <v>0</v>
      </c>
      <c r="D176" s="187">
        <v>0</v>
      </c>
      <c r="E176" s="186">
        <f t="shared" si="19"/>
        <v>0</v>
      </c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</row>
    <row r="177" spans="1:26" ht="14.4" outlineLevel="1" x14ac:dyDescent="0.3">
      <c r="A177" s="128"/>
      <c r="B177" s="128" t="s">
        <v>620</v>
      </c>
      <c r="C177" s="101">
        <v>0</v>
      </c>
      <c r="D177" s="187">
        <v>0</v>
      </c>
      <c r="E177" s="186">
        <f t="shared" si="19"/>
        <v>0</v>
      </c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</row>
    <row r="178" spans="1:26" ht="14.4" outlineLevel="1" x14ac:dyDescent="0.3">
      <c r="A178" s="128"/>
      <c r="B178" s="128" t="s">
        <v>621</v>
      </c>
      <c r="C178" s="101">
        <v>0</v>
      </c>
      <c r="D178" s="187">
        <v>0</v>
      </c>
      <c r="E178" s="186">
        <f t="shared" si="19"/>
        <v>0</v>
      </c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</row>
    <row r="179" spans="1:26" ht="14.4" outlineLevel="1" x14ac:dyDescent="0.3">
      <c r="A179" s="128"/>
      <c r="B179" s="128" t="s">
        <v>622</v>
      </c>
      <c r="C179" s="101">
        <v>0</v>
      </c>
      <c r="D179" s="187">
        <v>0</v>
      </c>
      <c r="E179" s="186">
        <f t="shared" si="19"/>
        <v>0</v>
      </c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</row>
    <row r="180" spans="1:26" ht="14.4" x14ac:dyDescent="0.3">
      <c r="A180" s="128"/>
      <c r="B180" s="189"/>
      <c r="C180" s="181"/>
      <c r="D180" s="181" t="s">
        <v>623</v>
      </c>
      <c r="E180" s="182">
        <f>SUM(E167:E179)</f>
        <v>0</v>
      </c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</row>
    <row r="181" spans="1:26" ht="14.4" x14ac:dyDescent="0.3">
      <c r="A181" s="128"/>
      <c r="B181" s="128"/>
      <c r="C181" s="128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</row>
    <row r="182" spans="1:26" ht="14.4" x14ac:dyDescent="0.3">
      <c r="A182" s="128"/>
      <c r="B182" s="128"/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</row>
    <row r="183" spans="1:26" ht="14.4" x14ac:dyDescent="0.3">
      <c r="A183" s="128"/>
      <c r="B183" s="128"/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</row>
    <row r="184" spans="1:26" ht="14.4" x14ac:dyDescent="0.3">
      <c r="A184" s="128"/>
      <c r="B184" s="128"/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</row>
    <row r="185" spans="1:26" ht="14.4" x14ac:dyDescent="0.3">
      <c r="A185" s="128"/>
      <c r="B185" s="128"/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</row>
    <row r="186" spans="1:26" ht="14.4" x14ac:dyDescent="0.3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</row>
    <row r="187" spans="1:26" ht="14.4" x14ac:dyDescent="0.3">
      <c r="A187" s="128"/>
      <c r="B187" s="128"/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</row>
    <row r="188" spans="1:26" ht="14.4" x14ac:dyDescent="0.3">
      <c r="A188" s="128"/>
      <c r="B188" s="128"/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</row>
    <row r="189" spans="1:26" ht="14.4" x14ac:dyDescent="0.3">
      <c r="A189" s="128"/>
      <c r="B189" s="128"/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</row>
    <row r="190" spans="1:26" ht="14.4" x14ac:dyDescent="0.3">
      <c r="A190" s="128"/>
      <c r="B190" s="128"/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</row>
    <row r="191" spans="1:26" ht="14.4" x14ac:dyDescent="0.3">
      <c r="A191" s="128"/>
      <c r="B191" s="128"/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</row>
    <row r="192" spans="1:26" ht="14.4" x14ac:dyDescent="0.3">
      <c r="A192" s="128"/>
      <c r="B192" s="128"/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</row>
    <row r="193" spans="1:26" ht="14.4" x14ac:dyDescent="0.3">
      <c r="A193" s="128"/>
      <c r="B193" s="128"/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</row>
    <row r="194" spans="1:26" ht="14.4" x14ac:dyDescent="0.3">
      <c r="A194" s="128"/>
      <c r="B194" s="128"/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</row>
    <row r="195" spans="1:26" ht="14.4" x14ac:dyDescent="0.3">
      <c r="A195" s="128"/>
      <c r="B195" s="128"/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</row>
    <row r="196" spans="1:26" ht="14.4" x14ac:dyDescent="0.3">
      <c r="A196" s="128"/>
      <c r="B196" s="128"/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</row>
    <row r="197" spans="1:26" ht="14.4" x14ac:dyDescent="0.3">
      <c r="A197" s="128"/>
      <c r="B197" s="128"/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</row>
    <row r="198" spans="1:26" ht="14.4" x14ac:dyDescent="0.3">
      <c r="A198" s="128"/>
      <c r="B198" s="128"/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</row>
    <row r="199" spans="1:26" ht="14.4" x14ac:dyDescent="0.3">
      <c r="A199" s="128"/>
      <c r="B199" s="128"/>
      <c r="C199" s="128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</row>
    <row r="200" spans="1:26" ht="14.4" x14ac:dyDescent="0.3">
      <c r="A200" s="128"/>
      <c r="B200" s="128"/>
      <c r="C200" s="128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</row>
    <row r="201" spans="1:26" ht="14.4" x14ac:dyDescent="0.3">
      <c r="A201" s="128"/>
      <c r="B201" s="128"/>
      <c r="C201" s="128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</row>
    <row r="202" spans="1:26" ht="14.4" x14ac:dyDescent="0.3">
      <c r="A202" s="128"/>
      <c r="B202" s="128"/>
      <c r="C202" s="128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</row>
    <row r="203" spans="1:26" ht="14.4" x14ac:dyDescent="0.3">
      <c r="A203" s="128"/>
      <c r="B203" s="128"/>
      <c r="C203" s="128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</row>
    <row r="204" spans="1:26" ht="14.4" x14ac:dyDescent="0.3">
      <c r="A204" s="128"/>
      <c r="B204" s="128"/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</row>
    <row r="205" spans="1:26" ht="14.4" x14ac:dyDescent="0.3">
      <c r="A205" s="128"/>
      <c r="B205" s="128"/>
      <c r="C205" s="128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</row>
    <row r="206" spans="1:26" ht="14.4" x14ac:dyDescent="0.3">
      <c r="A206" s="128"/>
      <c r="B206" s="128"/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</row>
    <row r="207" spans="1:26" ht="14.4" x14ac:dyDescent="0.3">
      <c r="A207" s="128"/>
      <c r="B207" s="128"/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</row>
    <row r="208" spans="1:26" ht="14.4" x14ac:dyDescent="0.3">
      <c r="A208" s="128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</row>
    <row r="209" spans="1:26" ht="14.4" x14ac:dyDescent="0.3">
      <c r="A209" s="128"/>
      <c r="B209" s="128"/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</row>
    <row r="210" spans="1:26" ht="14.4" x14ac:dyDescent="0.3">
      <c r="A210" s="128"/>
      <c r="B210" s="128"/>
      <c r="C210" s="128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</row>
    <row r="211" spans="1:26" ht="14.4" x14ac:dyDescent="0.3">
      <c r="A211" s="128"/>
      <c r="B211" s="128"/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</row>
    <row r="212" spans="1:26" ht="14.4" x14ac:dyDescent="0.3">
      <c r="A212" s="128"/>
      <c r="B212" s="128"/>
      <c r="C212" s="128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</row>
    <row r="213" spans="1:26" ht="14.4" x14ac:dyDescent="0.3">
      <c r="A213" s="128"/>
      <c r="B213" s="128"/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</row>
    <row r="214" spans="1:26" ht="14.4" x14ac:dyDescent="0.3">
      <c r="A214" s="128"/>
      <c r="B214" s="128"/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</row>
    <row r="215" spans="1:26" ht="14.4" x14ac:dyDescent="0.3">
      <c r="A215" s="128"/>
      <c r="B215" s="128"/>
      <c r="C215" s="128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</row>
    <row r="216" spans="1:26" ht="14.4" x14ac:dyDescent="0.3">
      <c r="A216" s="128"/>
      <c r="B216" s="128"/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</row>
    <row r="217" spans="1:26" ht="14.4" x14ac:dyDescent="0.3">
      <c r="A217" s="128"/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</row>
    <row r="218" spans="1:26" ht="14.4" x14ac:dyDescent="0.3">
      <c r="A218" s="128"/>
      <c r="B218" s="128"/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</row>
    <row r="219" spans="1:26" ht="14.4" x14ac:dyDescent="0.3">
      <c r="A219" s="128"/>
      <c r="B219" s="128"/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</row>
    <row r="220" spans="1:26" ht="14.4" x14ac:dyDescent="0.3">
      <c r="A220" s="128"/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</row>
    <row r="221" spans="1:26" ht="14.4" x14ac:dyDescent="0.3">
      <c r="A221" s="128"/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</row>
    <row r="222" spans="1:26" ht="14.4" x14ac:dyDescent="0.3">
      <c r="A222" s="128"/>
      <c r="B222" s="128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</row>
    <row r="223" spans="1:26" ht="14.4" x14ac:dyDescent="0.3">
      <c r="A223" s="128"/>
      <c r="B223" s="128"/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</row>
    <row r="224" spans="1:26" ht="14.4" x14ac:dyDescent="0.3">
      <c r="A224" s="128"/>
      <c r="B224" s="128"/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</row>
    <row r="225" spans="1:26" ht="14.4" x14ac:dyDescent="0.3">
      <c r="A225" s="128"/>
      <c r="B225" s="128"/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</row>
    <row r="226" spans="1:26" ht="14.4" x14ac:dyDescent="0.3">
      <c r="A226" s="128"/>
      <c r="B226" s="128"/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</row>
    <row r="227" spans="1:26" ht="14.4" x14ac:dyDescent="0.3">
      <c r="A227" s="128"/>
      <c r="B227" s="128"/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</row>
    <row r="228" spans="1:26" ht="14.4" x14ac:dyDescent="0.3">
      <c r="A228" s="128"/>
      <c r="B228" s="128"/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</row>
    <row r="229" spans="1:26" ht="14.4" x14ac:dyDescent="0.3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</row>
    <row r="230" spans="1:26" ht="14.4" x14ac:dyDescent="0.3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</row>
    <row r="231" spans="1:26" ht="14.4" x14ac:dyDescent="0.3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</row>
    <row r="232" spans="1:26" ht="14.4" x14ac:dyDescent="0.3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</row>
    <row r="233" spans="1:26" ht="14.4" x14ac:dyDescent="0.3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</row>
    <row r="234" spans="1:26" ht="14.4" x14ac:dyDescent="0.3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</row>
    <row r="235" spans="1:26" ht="14.4" x14ac:dyDescent="0.3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</row>
    <row r="236" spans="1:26" ht="14.4" x14ac:dyDescent="0.3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</row>
    <row r="237" spans="1:26" ht="14.4" x14ac:dyDescent="0.3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</row>
    <row r="238" spans="1:26" ht="14.4" x14ac:dyDescent="0.3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</row>
    <row r="239" spans="1:26" ht="14.4" x14ac:dyDescent="0.3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</row>
    <row r="240" spans="1:26" ht="14.4" x14ac:dyDescent="0.3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</row>
    <row r="241" spans="1:26" ht="14.4" x14ac:dyDescent="0.3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</row>
    <row r="242" spans="1:26" ht="14.4" x14ac:dyDescent="0.3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</row>
    <row r="243" spans="1:26" ht="14.4" x14ac:dyDescent="0.3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</row>
    <row r="244" spans="1:26" ht="14.4" x14ac:dyDescent="0.3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</row>
    <row r="245" spans="1:26" ht="14.4" x14ac:dyDescent="0.3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</row>
    <row r="246" spans="1:26" ht="14.4" x14ac:dyDescent="0.3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</row>
    <row r="247" spans="1:26" ht="14.4" x14ac:dyDescent="0.3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</row>
    <row r="248" spans="1:26" ht="14.4" x14ac:dyDescent="0.3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</row>
    <row r="249" spans="1:26" ht="14.4" x14ac:dyDescent="0.3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</row>
    <row r="250" spans="1:26" ht="14.4" x14ac:dyDescent="0.3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</row>
    <row r="251" spans="1:26" ht="14.4" x14ac:dyDescent="0.3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</row>
    <row r="252" spans="1:26" ht="14.4" x14ac:dyDescent="0.3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</row>
    <row r="253" spans="1:26" ht="14.4" x14ac:dyDescent="0.3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</row>
    <row r="254" spans="1:26" ht="14.4" x14ac:dyDescent="0.3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</row>
    <row r="255" spans="1:26" ht="14.4" x14ac:dyDescent="0.3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</row>
    <row r="256" spans="1:26" ht="14.4" x14ac:dyDescent="0.3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</row>
    <row r="257" spans="1:26" ht="14.4" x14ac:dyDescent="0.3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</row>
    <row r="258" spans="1:26" ht="14.4" x14ac:dyDescent="0.3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</row>
    <row r="259" spans="1:26" ht="14.4" x14ac:dyDescent="0.3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</row>
    <row r="260" spans="1:26" ht="14.4" x14ac:dyDescent="0.3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</row>
    <row r="261" spans="1:26" ht="14.4" x14ac:dyDescent="0.3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</row>
    <row r="262" spans="1:26" ht="14.4" x14ac:dyDescent="0.3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</row>
    <row r="263" spans="1:26" ht="14.4" x14ac:dyDescent="0.3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</row>
    <row r="264" spans="1:26" ht="14.4" x14ac:dyDescent="0.3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</row>
    <row r="265" spans="1:26" ht="14.4" x14ac:dyDescent="0.3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</row>
    <row r="266" spans="1:26" ht="14.4" x14ac:dyDescent="0.3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</row>
    <row r="267" spans="1:26" ht="14.4" x14ac:dyDescent="0.3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</row>
    <row r="268" spans="1:26" ht="14.4" x14ac:dyDescent="0.3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</row>
    <row r="269" spans="1:26" ht="14.4" x14ac:dyDescent="0.3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</row>
    <row r="270" spans="1:26" ht="14.4" x14ac:dyDescent="0.3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</row>
    <row r="271" spans="1:26" ht="14.4" x14ac:dyDescent="0.3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</row>
    <row r="272" spans="1:26" ht="14.4" x14ac:dyDescent="0.3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</row>
    <row r="273" spans="1:26" ht="14.4" x14ac:dyDescent="0.3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</row>
    <row r="274" spans="1:26" ht="14.4" x14ac:dyDescent="0.3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</row>
    <row r="275" spans="1:26" ht="14.4" x14ac:dyDescent="0.3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</row>
    <row r="276" spans="1:26" ht="14.4" x14ac:dyDescent="0.3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</row>
    <row r="277" spans="1:26" ht="14.4" x14ac:dyDescent="0.3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</row>
    <row r="278" spans="1:26" ht="14.4" x14ac:dyDescent="0.3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</row>
    <row r="279" spans="1:26" ht="14.4" x14ac:dyDescent="0.3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</row>
    <row r="280" spans="1:26" ht="14.4" x14ac:dyDescent="0.3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</row>
    <row r="281" spans="1:26" ht="14.4" x14ac:dyDescent="0.3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</row>
    <row r="282" spans="1:26" ht="14.4" x14ac:dyDescent="0.3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</row>
    <row r="283" spans="1:26" ht="14.4" x14ac:dyDescent="0.3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</row>
    <row r="284" spans="1:26" ht="14.4" x14ac:dyDescent="0.3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</row>
    <row r="285" spans="1:26" ht="14.4" x14ac:dyDescent="0.3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</row>
    <row r="286" spans="1:26" ht="14.4" x14ac:dyDescent="0.3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</row>
    <row r="287" spans="1:26" ht="14.4" x14ac:dyDescent="0.3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</row>
    <row r="288" spans="1:26" ht="14.4" x14ac:dyDescent="0.3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</row>
    <row r="289" spans="1:26" ht="14.4" x14ac:dyDescent="0.3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</row>
    <row r="290" spans="1:26" ht="14.4" x14ac:dyDescent="0.3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</row>
    <row r="291" spans="1:26" ht="14.4" x14ac:dyDescent="0.3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</row>
    <row r="292" spans="1:26" ht="14.4" x14ac:dyDescent="0.3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</row>
    <row r="293" spans="1:26" ht="14.4" x14ac:dyDescent="0.3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</row>
    <row r="294" spans="1:26" ht="14.4" x14ac:dyDescent="0.3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</row>
    <row r="295" spans="1:26" ht="14.4" x14ac:dyDescent="0.3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</row>
    <row r="296" spans="1:26" ht="14.4" x14ac:dyDescent="0.3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</row>
    <row r="297" spans="1:26" ht="14.4" x14ac:dyDescent="0.3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</row>
    <row r="298" spans="1:26" ht="14.4" x14ac:dyDescent="0.3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</row>
    <row r="299" spans="1:26" ht="14.4" x14ac:dyDescent="0.3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</row>
    <row r="300" spans="1:26" ht="14.4" x14ac:dyDescent="0.3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</row>
    <row r="301" spans="1:26" ht="14.4" x14ac:dyDescent="0.3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</row>
    <row r="302" spans="1:26" ht="14.4" x14ac:dyDescent="0.3">
      <c r="A302" s="128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</row>
    <row r="303" spans="1:26" ht="14.4" x14ac:dyDescent="0.3">
      <c r="A303" s="128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</row>
    <row r="304" spans="1:26" ht="14.4" x14ac:dyDescent="0.3">
      <c r="A304" s="128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</row>
    <row r="305" spans="1:26" ht="14.4" x14ac:dyDescent="0.3">
      <c r="A305" s="128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</row>
    <row r="306" spans="1:26" ht="14.4" x14ac:dyDescent="0.3">
      <c r="A306" s="128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</row>
    <row r="307" spans="1:26" ht="14.4" x14ac:dyDescent="0.3">
      <c r="A307" s="128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</row>
    <row r="308" spans="1:26" ht="14.4" x14ac:dyDescent="0.3">
      <c r="A308" s="128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</row>
    <row r="309" spans="1:26" ht="14.4" x14ac:dyDescent="0.3">
      <c r="A309" s="128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</row>
    <row r="310" spans="1:26" ht="14.4" x14ac:dyDescent="0.3">
      <c r="A310" s="128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</row>
    <row r="311" spans="1:26" ht="14.4" x14ac:dyDescent="0.3">
      <c r="A311" s="128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</row>
    <row r="312" spans="1:26" ht="14.4" x14ac:dyDescent="0.3">
      <c r="A312" s="128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</row>
    <row r="313" spans="1:26" ht="14.4" x14ac:dyDescent="0.3">
      <c r="A313" s="128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</row>
    <row r="314" spans="1:26" ht="14.4" x14ac:dyDescent="0.3">
      <c r="A314" s="128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</row>
    <row r="315" spans="1:26" ht="14.4" x14ac:dyDescent="0.3">
      <c r="A315" s="128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</row>
    <row r="316" spans="1:26" ht="14.4" x14ac:dyDescent="0.3">
      <c r="A316" s="128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</row>
    <row r="317" spans="1:26" ht="14.4" x14ac:dyDescent="0.3">
      <c r="A317" s="128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</row>
    <row r="318" spans="1:26" ht="14.4" x14ac:dyDescent="0.3">
      <c r="A318" s="128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</row>
    <row r="319" spans="1:26" ht="14.4" x14ac:dyDescent="0.3">
      <c r="A319" s="128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</row>
    <row r="320" spans="1:26" ht="14.4" x14ac:dyDescent="0.3">
      <c r="A320" s="128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</row>
    <row r="321" spans="1:26" ht="14.4" x14ac:dyDescent="0.3">
      <c r="A321" s="128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</row>
    <row r="322" spans="1:26" ht="14.4" x14ac:dyDescent="0.3">
      <c r="A322" s="128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</row>
    <row r="323" spans="1:26" ht="14.4" x14ac:dyDescent="0.3">
      <c r="A323" s="128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</row>
    <row r="324" spans="1:26" ht="14.4" x14ac:dyDescent="0.3">
      <c r="A324" s="128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</row>
    <row r="325" spans="1:26" ht="14.4" x14ac:dyDescent="0.3">
      <c r="A325" s="128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</row>
    <row r="326" spans="1:26" ht="14.4" x14ac:dyDescent="0.3">
      <c r="A326" s="128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</row>
    <row r="327" spans="1:26" ht="14.4" x14ac:dyDescent="0.3">
      <c r="A327" s="128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</row>
    <row r="328" spans="1:26" ht="14.4" x14ac:dyDescent="0.3">
      <c r="A328" s="128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</row>
    <row r="329" spans="1:26" ht="14.4" x14ac:dyDescent="0.3">
      <c r="A329" s="128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</row>
    <row r="330" spans="1:26" ht="14.4" x14ac:dyDescent="0.3">
      <c r="A330" s="128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</row>
    <row r="331" spans="1:26" ht="14.4" x14ac:dyDescent="0.3">
      <c r="A331" s="128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</row>
    <row r="332" spans="1:26" ht="14.4" x14ac:dyDescent="0.3">
      <c r="A332" s="128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</row>
    <row r="333" spans="1:26" ht="14.4" x14ac:dyDescent="0.3">
      <c r="A333" s="128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</row>
    <row r="334" spans="1:26" ht="14.4" x14ac:dyDescent="0.3">
      <c r="A334" s="128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</row>
    <row r="335" spans="1:26" ht="14.4" x14ac:dyDescent="0.3">
      <c r="A335" s="128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</row>
    <row r="336" spans="1:26" ht="14.4" x14ac:dyDescent="0.3">
      <c r="A336" s="128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</row>
    <row r="337" spans="1:26" ht="14.4" x14ac:dyDescent="0.3">
      <c r="A337" s="128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</row>
    <row r="338" spans="1:26" ht="14.4" x14ac:dyDescent="0.3">
      <c r="A338" s="128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</row>
    <row r="339" spans="1:26" ht="14.4" x14ac:dyDescent="0.3">
      <c r="A339" s="128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</row>
    <row r="340" spans="1:26" ht="14.4" x14ac:dyDescent="0.3">
      <c r="A340" s="128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</row>
    <row r="341" spans="1:26" ht="14.4" x14ac:dyDescent="0.3">
      <c r="A341" s="128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</row>
    <row r="342" spans="1:26" ht="14.4" x14ac:dyDescent="0.3">
      <c r="A342" s="128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</row>
    <row r="343" spans="1:26" ht="14.4" x14ac:dyDescent="0.3">
      <c r="A343" s="128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</row>
    <row r="344" spans="1:26" ht="14.4" x14ac:dyDescent="0.3">
      <c r="A344" s="128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</row>
    <row r="345" spans="1:26" ht="14.4" x14ac:dyDescent="0.3">
      <c r="A345" s="128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</row>
    <row r="346" spans="1:26" ht="14.4" x14ac:dyDescent="0.3">
      <c r="A346" s="128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</row>
    <row r="347" spans="1:26" ht="14.4" x14ac:dyDescent="0.3">
      <c r="A347" s="128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</row>
    <row r="348" spans="1:26" ht="14.4" x14ac:dyDescent="0.3">
      <c r="A348" s="128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</row>
    <row r="349" spans="1:26" ht="14.4" x14ac:dyDescent="0.3">
      <c r="A349" s="128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</row>
    <row r="350" spans="1:26" ht="14.4" x14ac:dyDescent="0.3">
      <c r="A350" s="128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</row>
    <row r="351" spans="1:26" ht="14.4" x14ac:dyDescent="0.3">
      <c r="A351" s="128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</row>
    <row r="352" spans="1:26" ht="14.4" x14ac:dyDescent="0.3">
      <c r="A352" s="128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</row>
    <row r="353" spans="1:26" ht="14.4" x14ac:dyDescent="0.3">
      <c r="A353" s="128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</row>
    <row r="354" spans="1:26" ht="14.4" x14ac:dyDescent="0.3">
      <c r="A354" s="128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</row>
    <row r="355" spans="1:26" ht="14.4" x14ac:dyDescent="0.3">
      <c r="A355" s="128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</row>
    <row r="356" spans="1:26" ht="14.4" x14ac:dyDescent="0.3">
      <c r="A356" s="128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</row>
    <row r="357" spans="1:26" ht="14.4" x14ac:dyDescent="0.3">
      <c r="A357" s="128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</row>
    <row r="358" spans="1:26" ht="14.4" x14ac:dyDescent="0.3">
      <c r="A358" s="128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</row>
    <row r="359" spans="1:26" ht="14.4" x14ac:dyDescent="0.3">
      <c r="A359" s="128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</row>
    <row r="360" spans="1:26" ht="14.4" x14ac:dyDescent="0.3">
      <c r="A360" s="128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</row>
    <row r="361" spans="1:26" ht="14.4" x14ac:dyDescent="0.3">
      <c r="A361" s="128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</row>
    <row r="362" spans="1:26" ht="14.4" x14ac:dyDescent="0.3">
      <c r="A362" s="128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</row>
    <row r="363" spans="1:26" ht="14.4" x14ac:dyDescent="0.3">
      <c r="A363" s="128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</row>
    <row r="364" spans="1:26" ht="14.4" x14ac:dyDescent="0.3">
      <c r="A364" s="128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</row>
    <row r="365" spans="1:26" ht="14.4" x14ac:dyDescent="0.3">
      <c r="A365" s="128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</row>
    <row r="366" spans="1:26" ht="14.4" x14ac:dyDescent="0.3">
      <c r="A366" s="128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</row>
    <row r="367" spans="1:26" ht="14.4" x14ac:dyDescent="0.3">
      <c r="A367" s="128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</row>
    <row r="368" spans="1:26" ht="14.4" x14ac:dyDescent="0.3">
      <c r="A368" s="128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</row>
    <row r="369" spans="1:26" ht="14.4" x14ac:dyDescent="0.3">
      <c r="A369" s="128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</row>
    <row r="370" spans="1:26" ht="14.4" x14ac:dyDescent="0.3">
      <c r="A370" s="128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</row>
    <row r="371" spans="1:26" ht="14.4" x14ac:dyDescent="0.3">
      <c r="A371" s="128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</row>
    <row r="372" spans="1:26" ht="14.4" x14ac:dyDescent="0.3">
      <c r="A372" s="128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</row>
    <row r="373" spans="1:26" ht="14.4" x14ac:dyDescent="0.3">
      <c r="A373" s="128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</row>
    <row r="374" spans="1:26" ht="14.4" x14ac:dyDescent="0.3">
      <c r="A374" s="128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</row>
    <row r="375" spans="1:26" ht="14.4" x14ac:dyDescent="0.3">
      <c r="A375" s="128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</row>
    <row r="376" spans="1:26" ht="14.4" x14ac:dyDescent="0.3">
      <c r="A376" s="128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</row>
    <row r="377" spans="1:26" ht="14.4" x14ac:dyDescent="0.3">
      <c r="A377" s="128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</row>
    <row r="378" spans="1:26" ht="14.4" x14ac:dyDescent="0.3">
      <c r="A378" s="128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</row>
    <row r="379" spans="1:26" ht="14.4" x14ac:dyDescent="0.3">
      <c r="A379" s="128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</row>
    <row r="380" spans="1:26" ht="14.4" x14ac:dyDescent="0.3">
      <c r="A380" s="128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</row>
    <row r="381" spans="1:26" ht="14.4" x14ac:dyDescent="0.3">
      <c r="A381" s="128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</row>
    <row r="382" spans="1:26" ht="14.4" x14ac:dyDescent="0.3">
      <c r="A382" s="128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</row>
    <row r="383" spans="1:26" ht="14.4" x14ac:dyDescent="0.3">
      <c r="A383" s="128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</row>
    <row r="384" spans="1:26" ht="14.4" x14ac:dyDescent="0.3">
      <c r="A384" s="128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</row>
    <row r="385" spans="1:26" ht="14.4" x14ac:dyDescent="0.3">
      <c r="A385" s="128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</row>
    <row r="386" spans="1:26" ht="14.4" x14ac:dyDescent="0.3">
      <c r="A386" s="128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</row>
    <row r="387" spans="1:26" ht="14.4" x14ac:dyDescent="0.3">
      <c r="A387" s="128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</row>
    <row r="388" spans="1:26" ht="14.4" x14ac:dyDescent="0.3">
      <c r="A388" s="128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</row>
    <row r="389" spans="1:26" ht="14.4" x14ac:dyDescent="0.3">
      <c r="A389" s="128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</row>
    <row r="390" spans="1:26" ht="14.4" x14ac:dyDescent="0.3">
      <c r="A390" s="128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</row>
    <row r="391" spans="1:26" ht="14.4" x14ac:dyDescent="0.3">
      <c r="A391" s="128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</row>
    <row r="392" spans="1:26" ht="14.4" x14ac:dyDescent="0.3">
      <c r="A392" s="128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</row>
    <row r="393" spans="1:26" ht="14.4" x14ac:dyDescent="0.3">
      <c r="A393" s="128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</row>
    <row r="394" spans="1:26" ht="14.4" x14ac:dyDescent="0.3">
      <c r="A394" s="128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</row>
    <row r="395" spans="1:26" ht="14.4" x14ac:dyDescent="0.3">
      <c r="A395" s="128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</row>
    <row r="396" spans="1:26" ht="14.4" x14ac:dyDescent="0.3">
      <c r="A396" s="128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</row>
    <row r="397" spans="1:26" ht="14.4" x14ac:dyDescent="0.3">
      <c r="A397" s="128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</row>
    <row r="398" spans="1:26" ht="14.4" x14ac:dyDescent="0.3">
      <c r="A398" s="128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</row>
    <row r="399" spans="1:26" ht="14.4" x14ac:dyDescent="0.3">
      <c r="A399" s="128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</row>
    <row r="400" spans="1:26" ht="14.4" x14ac:dyDescent="0.3">
      <c r="A400" s="128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</row>
    <row r="401" spans="1:26" ht="14.4" x14ac:dyDescent="0.3">
      <c r="A401" s="128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</row>
    <row r="402" spans="1:26" ht="14.4" x14ac:dyDescent="0.3">
      <c r="A402" s="128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</row>
    <row r="403" spans="1:26" ht="14.4" x14ac:dyDescent="0.3">
      <c r="A403" s="128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</row>
    <row r="404" spans="1:26" ht="14.4" x14ac:dyDescent="0.3">
      <c r="A404" s="128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</row>
    <row r="405" spans="1:26" ht="14.4" x14ac:dyDescent="0.3">
      <c r="A405" s="128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</row>
    <row r="406" spans="1:26" ht="14.4" x14ac:dyDescent="0.3">
      <c r="A406" s="128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</row>
    <row r="407" spans="1:26" ht="14.4" x14ac:dyDescent="0.3">
      <c r="A407" s="128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</row>
    <row r="408" spans="1:26" ht="14.4" x14ac:dyDescent="0.3">
      <c r="A408" s="128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</row>
    <row r="409" spans="1:26" ht="14.4" x14ac:dyDescent="0.3">
      <c r="A409" s="128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</row>
    <row r="410" spans="1:26" ht="14.4" x14ac:dyDescent="0.3">
      <c r="A410" s="128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</row>
    <row r="411" spans="1:26" ht="14.4" x14ac:dyDescent="0.3">
      <c r="A411" s="128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</row>
    <row r="412" spans="1:26" ht="14.4" x14ac:dyDescent="0.3">
      <c r="A412" s="128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</row>
    <row r="413" spans="1:26" ht="14.4" x14ac:dyDescent="0.3">
      <c r="A413" s="128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</row>
    <row r="414" spans="1:26" ht="14.4" x14ac:dyDescent="0.3">
      <c r="A414" s="128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</row>
    <row r="415" spans="1:26" ht="14.4" x14ac:dyDescent="0.3">
      <c r="A415" s="128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</row>
    <row r="416" spans="1:26" ht="14.4" x14ac:dyDescent="0.3">
      <c r="A416" s="128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</row>
    <row r="417" spans="1:26" ht="14.4" x14ac:dyDescent="0.3">
      <c r="A417" s="128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</row>
    <row r="418" spans="1:26" ht="14.4" x14ac:dyDescent="0.3">
      <c r="A418" s="128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</row>
    <row r="419" spans="1:26" ht="14.4" x14ac:dyDescent="0.3">
      <c r="A419" s="128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</row>
    <row r="420" spans="1:26" ht="14.4" x14ac:dyDescent="0.3">
      <c r="A420" s="128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</row>
    <row r="421" spans="1:26" ht="14.4" x14ac:dyDescent="0.3">
      <c r="A421" s="128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</row>
    <row r="422" spans="1:26" ht="14.4" x14ac:dyDescent="0.3">
      <c r="A422" s="128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</row>
    <row r="423" spans="1:26" ht="14.4" x14ac:dyDescent="0.3">
      <c r="A423" s="128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</row>
    <row r="424" spans="1:26" ht="14.4" x14ac:dyDescent="0.3">
      <c r="A424" s="128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</row>
    <row r="425" spans="1:26" ht="14.4" x14ac:dyDescent="0.3">
      <c r="A425" s="128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</row>
    <row r="426" spans="1:26" ht="14.4" x14ac:dyDescent="0.3">
      <c r="A426" s="128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</row>
    <row r="427" spans="1:26" ht="14.4" x14ac:dyDescent="0.3">
      <c r="A427" s="128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</row>
    <row r="428" spans="1:26" ht="14.4" x14ac:dyDescent="0.3">
      <c r="A428" s="128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</row>
    <row r="429" spans="1:26" ht="14.4" x14ac:dyDescent="0.3">
      <c r="A429" s="128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</row>
    <row r="430" spans="1:26" ht="14.4" x14ac:dyDescent="0.3">
      <c r="A430" s="128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</row>
    <row r="431" spans="1:26" ht="14.4" x14ac:dyDescent="0.3">
      <c r="A431" s="128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</row>
    <row r="432" spans="1:26" ht="14.4" x14ac:dyDescent="0.3">
      <c r="A432" s="128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</row>
    <row r="433" spans="1:26" ht="14.4" x14ac:dyDescent="0.3">
      <c r="A433" s="128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</row>
    <row r="434" spans="1:26" ht="14.4" x14ac:dyDescent="0.3">
      <c r="A434" s="128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</row>
    <row r="435" spans="1:26" ht="14.4" x14ac:dyDescent="0.3">
      <c r="A435" s="128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</row>
    <row r="436" spans="1:26" ht="14.4" x14ac:dyDescent="0.3">
      <c r="A436" s="128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</row>
    <row r="437" spans="1:26" ht="14.4" x14ac:dyDescent="0.3">
      <c r="A437" s="128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</row>
    <row r="438" spans="1:26" ht="14.4" x14ac:dyDescent="0.3">
      <c r="A438" s="128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</row>
    <row r="439" spans="1:26" ht="14.4" x14ac:dyDescent="0.3">
      <c r="A439" s="128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</row>
    <row r="440" spans="1:26" ht="14.4" x14ac:dyDescent="0.3">
      <c r="A440" s="128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</row>
    <row r="441" spans="1:26" ht="14.4" x14ac:dyDescent="0.3">
      <c r="A441" s="128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</row>
    <row r="442" spans="1:26" ht="14.4" x14ac:dyDescent="0.3">
      <c r="A442" s="128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</row>
    <row r="443" spans="1:26" ht="14.4" x14ac:dyDescent="0.3">
      <c r="A443" s="128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</row>
    <row r="444" spans="1:26" ht="14.4" x14ac:dyDescent="0.3">
      <c r="A444" s="128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</row>
    <row r="445" spans="1:26" ht="14.4" x14ac:dyDescent="0.3">
      <c r="A445" s="128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</row>
    <row r="446" spans="1:26" ht="14.4" x14ac:dyDescent="0.3">
      <c r="A446" s="128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</row>
    <row r="447" spans="1:26" ht="14.4" x14ac:dyDescent="0.3">
      <c r="A447" s="128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</row>
    <row r="448" spans="1:26" ht="14.4" x14ac:dyDescent="0.3">
      <c r="A448" s="128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</row>
    <row r="449" spans="1:26" ht="14.4" x14ac:dyDescent="0.3">
      <c r="A449" s="128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</row>
    <row r="450" spans="1:26" ht="14.4" x14ac:dyDescent="0.3">
      <c r="A450" s="128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</row>
    <row r="451" spans="1:26" ht="14.4" x14ac:dyDescent="0.3">
      <c r="A451" s="128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</row>
    <row r="452" spans="1:26" ht="14.4" x14ac:dyDescent="0.3">
      <c r="A452" s="128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</row>
    <row r="453" spans="1:26" ht="14.4" x14ac:dyDescent="0.3">
      <c r="A453" s="128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</row>
    <row r="454" spans="1:26" ht="14.4" x14ac:dyDescent="0.3">
      <c r="A454" s="128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</row>
    <row r="455" spans="1:26" ht="14.4" x14ac:dyDescent="0.3">
      <c r="A455" s="128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</row>
    <row r="456" spans="1:26" ht="14.4" x14ac:dyDescent="0.3">
      <c r="A456" s="128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</row>
    <row r="457" spans="1:26" ht="14.4" x14ac:dyDescent="0.3">
      <c r="A457" s="128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</row>
    <row r="458" spans="1:26" ht="14.4" x14ac:dyDescent="0.3">
      <c r="A458" s="128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</row>
    <row r="459" spans="1:26" ht="14.4" x14ac:dyDescent="0.3">
      <c r="A459" s="128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</row>
    <row r="460" spans="1:26" ht="14.4" x14ac:dyDescent="0.3">
      <c r="A460" s="128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</row>
    <row r="461" spans="1:26" ht="14.4" x14ac:dyDescent="0.3">
      <c r="A461" s="128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</row>
    <row r="462" spans="1:26" ht="14.4" x14ac:dyDescent="0.3">
      <c r="A462" s="128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</row>
    <row r="463" spans="1:26" ht="14.4" x14ac:dyDescent="0.3">
      <c r="A463" s="128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</row>
    <row r="464" spans="1:26" ht="14.4" x14ac:dyDescent="0.3">
      <c r="A464" s="128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</row>
    <row r="465" spans="1:26" ht="14.4" x14ac:dyDescent="0.3">
      <c r="A465" s="128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</row>
    <row r="466" spans="1:26" ht="14.4" x14ac:dyDescent="0.3">
      <c r="A466" s="128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</row>
    <row r="467" spans="1:26" ht="14.4" x14ac:dyDescent="0.3">
      <c r="A467" s="128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</row>
    <row r="468" spans="1:26" ht="14.4" x14ac:dyDescent="0.3">
      <c r="A468" s="128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</row>
    <row r="469" spans="1:26" ht="14.4" x14ac:dyDescent="0.3">
      <c r="A469" s="128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</row>
    <row r="470" spans="1:26" ht="14.4" x14ac:dyDescent="0.3">
      <c r="A470" s="128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</row>
    <row r="471" spans="1:26" ht="14.4" x14ac:dyDescent="0.3">
      <c r="A471" s="128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</row>
    <row r="472" spans="1:26" ht="14.4" x14ac:dyDescent="0.3">
      <c r="A472" s="128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</row>
    <row r="473" spans="1:26" ht="14.4" x14ac:dyDescent="0.3">
      <c r="A473" s="128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</row>
    <row r="474" spans="1:26" ht="14.4" x14ac:dyDescent="0.3">
      <c r="A474" s="128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</row>
    <row r="475" spans="1:26" ht="14.4" x14ac:dyDescent="0.3">
      <c r="A475" s="128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</row>
    <row r="476" spans="1:26" ht="14.4" x14ac:dyDescent="0.3">
      <c r="A476" s="128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</row>
    <row r="477" spans="1:26" ht="14.4" x14ac:dyDescent="0.3">
      <c r="A477" s="128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</row>
    <row r="478" spans="1:26" ht="14.4" x14ac:dyDescent="0.3">
      <c r="A478" s="128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</row>
    <row r="479" spans="1:26" ht="14.4" x14ac:dyDescent="0.3">
      <c r="A479" s="128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</row>
    <row r="480" spans="1:26" ht="14.4" x14ac:dyDescent="0.3">
      <c r="A480" s="128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</row>
    <row r="481" spans="1:26" ht="14.4" x14ac:dyDescent="0.3">
      <c r="A481" s="128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</row>
    <row r="482" spans="1:26" ht="14.4" x14ac:dyDescent="0.3">
      <c r="A482" s="128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</row>
    <row r="483" spans="1:26" ht="14.4" x14ac:dyDescent="0.3">
      <c r="A483" s="128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</row>
    <row r="484" spans="1:26" ht="14.4" x14ac:dyDescent="0.3">
      <c r="A484" s="128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</row>
    <row r="485" spans="1:26" ht="14.4" x14ac:dyDescent="0.3">
      <c r="A485" s="128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</row>
    <row r="486" spans="1:26" ht="14.4" x14ac:dyDescent="0.3">
      <c r="A486" s="128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</row>
    <row r="487" spans="1:26" ht="14.4" x14ac:dyDescent="0.3">
      <c r="A487" s="128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</row>
    <row r="488" spans="1:26" ht="14.4" x14ac:dyDescent="0.3">
      <c r="A488" s="128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</row>
    <row r="489" spans="1:26" ht="14.4" x14ac:dyDescent="0.3">
      <c r="A489" s="128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</row>
    <row r="490" spans="1:26" ht="14.4" x14ac:dyDescent="0.3">
      <c r="A490" s="128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</row>
    <row r="491" spans="1:26" ht="14.4" x14ac:dyDescent="0.3">
      <c r="A491" s="128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</row>
    <row r="492" spans="1:26" ht="14.4" x14ac:dyDescent="0.3">
      <c r="A492" s="128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</row>
    <row r="493" spans="1:26" ht="14.4" x14ac:dyDescent="0.3">
      <c r="A493" s="128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</row>
    <row r="494" spans="1:26" ht="14.4" x14ac:dyDescent="0.3">
      <c r="A494" s="128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</row>
    <row r="495" spans="1:26" ht="14.4" x14ac:dyDescent="0.3">
      <c r="A495" s="128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</row>
    <row r="496" spans="1:26" ht="14.4" x14ac:dyDescent="0.3">
      <c r="A496" s="128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</row>
    <row r="497" spans="1:26" ht="14.4" x14ac:dyDescent="0.3">
      <c r="A497" s="128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</row>
    <row r="498" spans="1:26" ht="14.4" x14ac:dyDescent="0.3">
      <c r="A498" s="128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</row>
    <row r="499" spans="1:26" ht="14.4" x14ac:dyDescent="0.3">
      <c r="A499" s="128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</row>
    <row r="500" spans="1:26" ht="14.4" x14ac:dyDescent="0.3">
      <c r="A500" s="128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</row>
    <row r="501" spans="1:26" ht="14.4" x14ac:dyDescent="0.3">
      <c r="A501" s="128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</row>
    <row r="502" spans="1:26" ht="14.4" x14ac:dyDescent="0.3">
      <c r="A502" s="128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</row>
    <row r="503" spans="1:26" ht="14.4" x14ac:dyDescent="0.3">
      <c r="A503" s="128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</row>
    <row r="504" spans="1:26" ht="14.4" x14ac:dyDescent="0.3">
      <c r="A504" s="128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</row>
    <row r="505" spans="1:26" ht="14.4" x14ac:dyDescent="0.3">
      <c r="A505" s="128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</row>
    <row r="506" spans="1:26" ht="14.4" x14ac:dyDescent="0.3">
      <c r="A506" s="128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</row>
    <row r="507" spans="1:26" ht="14.4" x14ac:dyDescent="0.3">
      <c r="A507" s="128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</row>
    <row r="508" spans="1:26" ht="14.4" x14ac:dyDescent="0.3">
      <c r="A508" s="128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</row>
    <row r="509" spans="1:26" ht="14.4" x14ac:dyDescent="0.3">
      <c r="A509" s="128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</row>
    <row r="510" spans="1:26" ht="14.4" x14ac:dyDescent="0.3">
      <c r="A510" s="128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</row>
    <row r="511" spans="1:26" ht="14.4" x14ac:dyDescent="0.3">
      <c r="A511" s="128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</row>
    <row r="512" spans="1:26" ht="14.4" x14ac:dyDescent="0.3">
      <c r="A512" s="128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</row>
    <row r="513" spans="1:26" ht="14.4" x14ac:dyDescent="0.3">
      <c r="A513" s="128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</row>
    <row r="514" spans="1:26" ht="14.4" x14ac:dyDescent="0.3">
      <c r="A514" s="128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</row>
    <row r="515" spans="1:26" ht="14.4" x14ac:dyDescent="0.3">
      <c r="A515" s="128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</row>
    <row r="516" spans="1:26" ht="14.4" x14ac:dyDescent="0.3">
      <c r="A516" s="128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</row>
    <row r="517" spans="1:26" ht="14.4" x14ac:dyDescent="0.3">
      <c r="A517" s="128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</row>
    <row r="518" spans="1:26" ht="14.4" x14ac:dyDescent="0.3">
      <c r="A518" s="128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</row>
    <row r="519" spans="1:26" ht="14.4" x14ac:dyDescent="0.3">
      <c r="A519" s="128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</row>
    <row r="520" spans="1:26" ht="14.4" x14ac:dyDescent="0.3">
      <c r="A520" s="128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</row>
    <row r="521" spans="1:26" ht="14.4" x14ac:dyDescent="0.3">
      <c r="A521" s="128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</row>
    <row r="522" spans="1:26" ht="14.4" x14ac:dyDescent="0.3">
      <c r="A522" s="128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</row>
    <row r="523" spans="1:26" ht="14.4" x14ac:dyDescent="0.3">
      <c r="A523" s="128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</row>
    <row r="524" spans="1:26" ht="14.4" x14ac:dyDescent="0.3">
      <c r="A524" s="128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</row>
    <row r="525" spans="1:26" ht="14.4" x14ac:dyDescent="0.3">
      <c r="A525" s="128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</row>
    <row r="526" spans="1:26" ht="14.4" x14ac:dyDescent="0.3">
      <c r="A526" s="128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</row>
    <row r="527" spans="1:26" ht="14.4" x14ac:dyDescent="0.3">
      <c r="A527" s="128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</row>
    <row r="528" spans="1:26" ht="14.4" x14ac:dyDescent="0.3">
      <c r="A528" s="128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</row>
    <row r="529" spans="1:26" ht="14.4" x14ac:dyDescent="0.3">
      <c r="A529" s="128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</row>
    <row r="530" spans="1:26" ht="14.4" x14ac:dyDescent="0.3">
      <c r="A530" s="128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</row>
    <row r="531" spans="1:26" ht="14.4" x14ac:dyDescent="0.3">
      <c r="A531" s="128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</row>
    <row r="532" spans="1:26" ht="14.4" x14ac:dyDescent="0.3">
      <c r="A532" s="128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</row>
    <row r="533" spans="1:26" ht="14.4" x14ac:dyDescent="0.3">
      <c r="A533" s="128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</row>
    <row r="534" spans="1:26" ht="14.4" x14ac:dyDescent="0.3">
      <c r="A534" s="128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</row>
    <row r="535" spans="1:26" ht="14.4" x14ac:dyDescent="0.3">
      <c r="A535" s="128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</row>
    <row r="536" spans="1:26" ht="14.4" x14ac:dyDescent="0.3">
      <c r="A536" s="128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</row>
    <row r="537" spans="1:26" ht="14.4" x14ac:dyDescent="0.3">
      <c r="A537" s="128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</row>
    <row r="538" spans="1:26" ht="14.4" x14ac:dyDescent="0.3">
      <c r="A538" s="128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</row>
    <row r="539" spans="1:26" ht="14.4" x14ac:dyDescent="0.3">
      <c r="A539" s="128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</row>
    <row r="540" spans="1:26" ht="14.4" x14ac:dyDescent="0.3">
      <c r="A540" s="128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</row>
    <row r="541" spans="1:26" ht="14.4" x14ac:dyDescent="0.3">
      <c r="A541" s="128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</row>
    <row r="542" spans="1:26" ht="14.4" x14ac:dyDescent="0.3">
      <c r="A542" s="128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</row>
    <row r="543" spans="1:26" ht="14.4" x14ac:dyDescent="0.3">
      <c r="A543" s="128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</row>
    <row r="544" spans="1:26" ht="14.4" x14ac:dyDescent="0.3">
      <c r="A544" s="128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</row>
    <row r="545" spans="1:26" ht="14.4" x14ac:dyDescent="0.3">
      <c r="A545" s="128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</row>
    <row r="546" spans="1:26" ht="14.4" x14ac:dyDescent="0.3">
      <c r="A546" s="128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</row>
    <row r="547" spans="1:26" ht="14.4" x14ac:dyDescent="0.3">
      <c r="A547" s="128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</row>
    <row r="548" spans="1:26" ht="14.4" x14ac:dyDescent="0.3">
      <c r="A548" s="128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</row>
    <row r="549" spans="1:26" ht="14.4" x14ac:dyDescent="0.3">
      <c r="A549" s="128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</row>
    <row r="550" spans="1:26" ht="14.4" x14ac:dyDescent="0.3">
      <c r="A550" s="128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</row>
    <row r="551" spans="1:26" ht="14.4" x14ac:dyDescent="0.3">
      <c r="A551" s="128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</row>
    <row r="552" spans="1:26" ht="14.4" x14ac:dyDescent="0.3">
      <c r="A552" s="128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</row>
    <row r="553" spans="1:26" ht="14.4" x14ac:dyDescent="0.3">
      <c r="A553" s="128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</row>
    <row r="554" spans="1:26" ht="14.4" x14ac:dyDescent="0.3">
      <c r="A554" s="128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</row>
    <row r="555" spans="1:26" ht="14.4" x14ac:dyDescent="0.3">
      <c r="A555" s="128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</row>
    <row r="556" spans="1:26" ht="14.4" x14ac:dyDescent="0.3">
      <c r="A556" s="128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</row>
    <row r="557" spans="1:26" ht="14.4" x14ac:dyDescent="0.3">
      <c r="A557" s="128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</row>
    <row r="558" spans="1:26" ht="14.4" x14ac:dyDescent="0.3">
      <c r="A558" s="128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</row>
    <row r="559" spans="1:26" ht="14.4" x14ac:dyDescent="0.3">
      <c r="A559" s="128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</row>
    <row r="560" spans="1:26" ht="14.4" x14ac:dyDescent="0.3">
      <c r="A560" s="128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</row>
    <row r="561" spans="1:26" ht="14.4" x14ac:dyDescent="0.3">
      <c r="A561" s="128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</row>
    <row r="562" spans="1:26" ht="14.4" x14ac:dyDescent="0.3">
      <c r="A562" s="128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</row>
    <row r="563" spans="1:26" ht="14.4" x14ac:dyDescent="0.3">
      <c r="A563" s="128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</row>
    <row r="564" spans="1:26" ht="14.4" x14ac:dyDescent="0.3">
      <c r="A564" s="128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</row>
    <row r="565" spans="1:26" ht="14.4" x14ac:dyDescent="0.3">
      <c r="A565" s="128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</row>
    <row r="566" spans="1:26" ht="14.4" x14ac:dyDescent="0.3">
      <c r="A566" s="128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</row>
    <row r="567" spans="1:26" ht="14.4" x14ac:dyDescent="0.3">
      <c r="A567" s="128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</row>
    <row r="568" spans="1:26" ht="14.4" x14ac:dyDescent="0.3">
      <c r="A568" s="128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</row>
    <row r="569" spans="1:26" ht="14.4" x14ac:dyDescent="0.3">
      <c r="A569" s="128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</row>
    <row r="570" spans="1:26" ht="14.4" x14ac:dyDescent="0.3">
      <c r="A570" s="128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</row>
    <row r="571" spans="1:26" ht="14.4" x14ac:dyDescent="0.3">
      <c r="A571" s="128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</row>
    <row r="572" spans="1:26" ht="14.4" x14ac:dyDescent="0.3">
      <c r="A572" s="128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</row>
    <row r="573" spans="1:26" ht="14.4" x14ac:dyDescent="0.3">
      <c r="A573" s="128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</row>
    <row r="574" spans="1:26" ht="14.4" x14ac:dyDescent="0.3">
      <c r="A574" s="128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</row>
    <row r="575" spans="1:26" ht="14.4" x14ac:dyDescent="0.3">
      <c r="A575" s="128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</row>
    <row r="576" spans="1:26" ht="14.4" x14ac:dyDescent="0.3">
      <c r="A576" s="128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</row>
    <row r="577" spans="1:26" ht="14.4" x14ac:dyDescent="0.3">
      <c r="A577" s="128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</row>
    <row r="578" spans="1:26" ht="14.4" x14ac:dyDescent="0.3">
      <c r="A578" s="128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</row>
    <row r="579" spans="1:26" ht="14.4" x14ac:dyDescent="0.3">
      <c r="A579" s="128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</row>
    <row r="580" spans="1:26" ht="14.4" x14ac:dyDescent="0.3">
      <c r="A580" s="128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</row>
    <row r="581" spans="1:26" ht="14.4" x14ac:dyDescent="0.3">
      <c r="A581" s="128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</row>
    <row r="582" spans="1:26" ht="14.4" x14ac:dyDescent="0.3">
      <c r="A582" s="128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</row>
    <row r="583" spans="1:26" ht="14.4" x14ac:dyDescent="0.3">
      <c r="A583" s="128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</row>
    <row r="584" spans="1:26" ht="14.4" x14ac:dyDescent="0.3">
      <c r="A584" s="128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</row>
    <row r="585" spans="1:26" ht="14.4" x14ac:dyDescent="0.3">
      <c r="A585" s="128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</row>
    <row r="586" spans="1:26" ht="14.4" x14ac:dyDescent="0.3">
      <c r="A586" s="128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</row>
    <row r="587" spans="1:26" ht="14.4" x14ac:dyDescent="0.3">
      <c r="A587" s="128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</row>
    <row r="588" spans="1:26" ht="14.4" x14ac:dyDescent="0.3">
      <c r="A588" s="128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</row>
    <row r="589" spans="1:26" ht="14.4" x14ac:dyDescent="0.3">
      <c r="A589" s="128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</row>
    <row r="590" spans="1:26" ht="14.4" x14ac:dyDescent="0.3">
      <c r="A590" s="128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</row>
    <row r="591" spans="1:26" ht="14.4" x14ac:dyDescent="0.3">
      <c r="A591" s="128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</row>
    <row r="592" spans="1:26" ht="14.4" x14ac:dyDescent="0.3">
      <c r="A592" s="128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</row>
    <row r="593" spans="1:26" ht="14.4" x14ac:dyDescent="0.3">
      <c r="A593" s="128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</row>
    <row r="594" spans="1:26" ht="14.4" x14ac:dyDescent="0.3">
      <c r="A594" s="128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</row>
    <row r="595" spans="1:26" ht="14.4" x14ac:dyDescent="0.3">
      <c r="A595" s="128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</row>
    <row r="596" spans="1:26" ht="14.4" x14ac:dyDescent="0.3">
      <c r="A596" s="128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</row>
    <row r="597" spans="1:26" ht="14.4" x14ac:dyDescent="0.3">
      <c r="A597" s="128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</row>
    <row r="598" spans="1:26" ht="14.4" x14ac:dyDescent="0.3">
      <c r="A598" s="128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</row>
    <row r="599" spans="1:26" ht="14.4" x14ac:dyDescent="0.3">
      <c r="A599" s="128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</row>
    <row r="600" spans="1:26" ht="14.4" x14ac:dyDescent="0.3">
      <c r="A600" s="128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</row>
    <row r="601" spans="1:26" ht="14.4" x14ac:dyDescent="0.3">
      <c r="A601" s="128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</row>
    <row r="602" spans="1:26" ht="14.4" x14ac:dyDescent="0.3">
      <c r="A602" s="128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</row>
    <row r="603" spans="1:26" ht="14.4" x14ac:dyDescent="0.3">
      <c r="A603" s="128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</row>
    <row r="604" spans="1:26" ht="14.4" x14ac:dyDescent="0.3">
      <c r="A604" s="128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</row>
    <row r="605" spans="1:26" ht="14.4" x14ac:dyDescent="0.3">
      <c r="A605" s="128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</row>
    <row r="606" spans="1:26" ht="14.4" x14ac:dyDescent="0.3">
      <c r="A606" s="128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</row>
    <row r="607" spans="1:26" ht="14.4" x14ac:dyDescent="0.3">
      <c r="A607" s="128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</row>
    <row r="608" spans="1:26" ht="14.4" x14ac:dyDescent="0.3">
      <c r="A608" s="128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</row>
    <row r="609" spans="1:26" ht="14.4" x14ac:dyDescent="0.3">
      <c r="A609" s="128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</row>
    <row r="610" spans="1:26" ht="14.4" x14ac:dyDescent="0.3">
      <c r="A610" s="128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</row>
    <row r="611" spans="1:26" ht="14.4" x14ac:dyDescent="0.3">
      <c r="A611" s="128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</row>
    <row r="612" spans="1:26" ht="14.4" x14ac:dyDescent="0.3">
      <c r="A612" s="128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</row>
    <row r="613" spans="1:26" ht="14.4" x14ac:dyDescent="0.3">
      <c r="A613" s="128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</row>
    <row r="614" spans="1:26" ht="14.4" x14ac:dyDescent="0.3">
      <c r="A614" s="128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</row>
    <row r="615" spans="1:26" ht="14.4" x14ac:dyDescent="0.3">
      <c r="A615" s="128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</row>
    <row r="616" spans="1:26" ht="14.4" x14ac:dyDescent="0.3">
      <c r="A616" s="128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</row>
    <row r="617" spans="1:26" ht="14.4" x14ac:dyDescent="0.3">
      <c r="A617" s="128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</row>
    <row r="618" spans="1:26" ht="14.4" x14ac:dyDescent="0.3">
      <c r="A618" s="128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</row>
    <row r="619" spans="1:26" ht="14.4" x14ac:dyDescent="0.3">
      <c r="A619" s="128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</row>
    <row r="620" spans="1:26" ht="14.4" x14ac:dyDescent="0.3">
      <c r="A620" s="128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</row>
    <row r="621" spans="1:26" ht="14.4" x14ac:dyDescent="0.3">
      <c r="A621" s="128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</row>
    <row r="622" spans="1:26" ht="14.4" x14ac:dyDescent="0.3">
      <c r="A622" s="128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</row>
    <row r="623" spans="1:26" ht="14.4" x14ac:dyDescent="0.3">
      <c r="A623" s="128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</row>
    <row r="624" spans="1:26" ht="14.4" x14ac:dyDescent="0.3">
      <c r="A624" s="128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</row>
    <row r="625" spans="1:26" ht="14.4" x14ac:dyDescent="0.3">
      <c r="A625" s="128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</row>
    <row r="626" spans="1:26" ht="14.4" x14ac:dyDescent="0.3">
      <c r="A626" s="128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</row>
    <row r="627" spans="1:26" ht="14.4" x14ac:dyDescent="0.3">
      <c r="A627" s="128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</row>
    <row r="628" spans="1:26" ht="14.4" x14ac:dyDescent="0.3">
      <c r="A628" s="128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</row>
    <row r="629" spans="1:26" ht="14.4" x14ac:dyDescent="0.3">
      <c r="A629" s="128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</row>
    <row r="630" spans="1:26" ht="14.4" x14ac:dyDescent="0.3">
      <c r="A630" s="128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</row>
    <row r="631" spans="1:26" ht="14.4" x14ac:dyDescent="0.3">
      <c r="A631" s="128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</row>
    <row r="632" spans="1:26" ht="14.4" x14ac:dyDescent="0.3">
      <c r="A632" s="128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</row>
    <row r="633" spans="1:26" ht="14.4" x14ac:dyDescent="0.3">
      <c r="A633" s="128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</row>
    <row r="634" spans="1:26" ht="14.4" x14ac:dyDescent="0.3">
      <c r="A634" s="128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</row>
    <row r="635" spans="1:26" ht="14.4" x14ac:dyDescent="0.3">
      <c r="A635" s="128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</row>
    <row r="636" spans="1:26" ht="14.4" x14ac:dyDescent="0.3">
      <c r="A636" s="128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</row>
    <row r="637" spans="1:26" ht="14.4" x14ac:dyDescent="0.3">
      <c r="A637" s="128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</row>
    <row r="638" spans="1:26" ht="14.4" x14ac:dyDescent="0.3">
      <c r="A638" s="128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</row>
    <row r="639" spans="1:26" ht="14.4" x14ac:dyDescent="0.3">
      <c r="A639" s="128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</row>
    <row r="640" spans="1:26" ht="14.4" x14ac:dyDescent="0.3">
      <c r="A640" s="128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</row>
    <row r="641" spans="1:26" ht="14.4" x14ac:dyDescent="0.3">
      <c r="A641" s="128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</row>
    <row r="642" spans="1:26" ht="14.4" x14ac:dyDescent="0.3">
      <c r="A642" s="128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</row>
    <row r="643" spans="1:26" ht="14.4" x14ac:dyDescent="0.3">
      <c r="A643" s="128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</row>
    <row r="644" spans="1:26" ht="14.4" x14ac:dyDescent="0.3">
      <c r="A644" s="128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</row>
    <row r="645" spans="1:26" ht="14.4" x14ac:dyDescent="0.3">
      <c r="A645" s="128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</row>
    <row r="646" spans="1:26" ht="14.4" x14ac:dyDescent="0.3">
      <c r="A646" s="128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</row>
    <row r="647" spans="1:26" ht="14.4" x14ac:dyDescent="0.3">
      <c r="A647" s="128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</row>
    <row r="648" spans="1:26" ht="14.4" x14ac:dyDescent="0.3">
      <c r="A648" s="128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</row>
    <row r="649" spans="1:26" ht="14.4" x14ac:dyDescent="0.3">
      <c r="A649" s="128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</row>
    <row r="650" spans="1:26" ht="14.4" x14ac:dyDescent="0.3">
      <c r="A650" s="128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</row>
    <row r="651" spans="1:26" ht="14.4" x14ac:dyDescent="0.3">
      <c r="A651" s="128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</row>
    <row r="652" spans="1:26" ht="14.4" x14ac:dyDescent="0.3">
      <c r="A652" s="128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</row>
    <row r="653" spans="1:26" ht="14.4" x14ac:dyDescent="0.3">
      <c r="A653" s="128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</row>
    <row r="654" spans="1:26" ht="14.4" x14ac:dyDescent="0.3">
      <c r="A654" s="128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</row>
    <row r="655" spans="1:26" ht="14.4" x14ac:dyDescent="0.3">
      <c r="A655" s="128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</row>
    <row r="656" spans="1:26" ht="14.4" x14ac:dyDescent="0.3">
      <c r="A656" s="128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</row>
    <row r="657" spans="1:26" ht="14.4" x14ac:dyDescent="0.3">
      <c r="A657" s="128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</row>
    <row r="658" spans="1:26" ht="14.4" x14ac:dyDescent="0.3">
      <c r="A658" s="128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</row>
    <row r="659" spans="1:26" ht="14.4" x14ac:dyDescent="0.3">
      <c r="A659" s="128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</row>
    <row r="660" spans="1:26" ht="14.4" x14ac:dyDescent="0.3">
      <c r="A660" s="128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</row>
    <row r="661" spans="1:26" ht="14.4" x14ac:dyDescent="0.3">
      <c r="A661" s="128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</row>
    <row r="662" spans="1:26" ht="14.4" x14ac:dyDescent="0.3">
      <c r="A662" s="128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</row>
    <row r="663" spans="1:26" ht="14.4" x14ac:dyDescent="0.3">
      <c r="A663" s="128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</row>
    <row r="664" spans="1:26" ht="14.4" x14ac:dyDescent="0.3">
      <c r="A664" s="128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</row>
    <row r="665" spans="1:26" ht="14.4" x14ac:dyDescent="0.3">
      <c r="A665" s="128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</row>
    <row r="666" spans="1:26" ht="14.4" x14ac:dyDescent="0.3">
      <c r="A666" s="128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</row>
    <row r="667" spans="1:26" ht="14.4" x14ac:dyDescent="0.3">
      <c r="A667" s="128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</row>
    <row r="668" spans="1:26" ht="14.4" x14ac:dyDescent="0.3">
      <c r="A668" s="128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</row>
    <row r="669" spans="1:26" ht="14.4" x14ac:dyDescent="0.3">
      <c r="A669" s="128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</row>
    <row r="670" spans="1:26" ht="14.4" x14ac:dyDescent="0.3">
      <c r="A670" s="128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</row>
    <row r="671" spans="1:26" ht="14.4" x14ac:dyDescent="0.3">
      <c r="A671" s="128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</row>
    <row r="672" spans="1:26" ht="14.4" x14ac:dyDescent="0.3">
      <c r="A672" s="128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</row>
    <row r="673" spans="1:26" ht="14.4" x14ac:dyDescent="0.3">
      <c r="A673" s="128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</row>
    <row r="674" spans="1:26" ht="14.4" x14ac:dyDescent="0.3">
      <c r="A674" s="128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</row>
    <row r="675" spans="1:26" ht="14.4" x14ac:dyDescent="0.3">
      <c r="A675" s="128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</row>
    <row r="676" spans="1:26" ht="14.4" x14ac:dyDescent="0.3">
      <c r="A676" s="128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</row>
    <row r="677" spans="1:26" ht="14.4" x14ac:dyDescent="0.3">
      <c r="A677" s="128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</row>
    <row r="678" spans="1:26" ht="14.4" x14ac:dyDescent="0.3">
      <c r="A678" s="128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</row>
    <row r="679" spans="1:26" ht="14.4" x14ac:dyDescent="0.3">
      <c r="A679" s="128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</row>
    <row r="680" spans="1:26" ht="14.4" x14ac:dyDescent="0.3">
      <c r="A680" s="128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</row>
    <row r="681" spans="1:26" ht="14.4" x14ac:dyDescent="0.3">
      <c r="A681" s="128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</row>
    <row r="682" spans="1:26" ht="14.4" x14ac:dyDescent="0.3">
      <c r="A682" s="128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</row>
    <row r="683" spans="1:26" ht="14.4" x14ac:dyDescent="0.3">
      <c r="A683" s="128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</row>
    <row r="684" spans="1:26" ht="14.4" x14ac:dyDescent="0.3">
      <c r="A684" s="128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</row>
    <row r="685" spans="1:26" ht="14.4" x14ac:dyDescent="0.3">
      <c r="A685" s="128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</row>
    <row r="686" spans="1:26" ht="14.4" x14ac:dyDescent="0.3">
      <c r="A686" s="128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</row>
    <row r="687" spans="1:26" ht="14.4" x14ac:dyDescent="0.3">
      <c r="A687" s="128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</row>
    <row r="688" spans="1:26" ht="14.4" x14ac:dyDescent="0.3">
      <c r="A688" s="128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</row>
    <row r="689" spans="1:26" ht="14.4" x14ac:dyDescent="0.3">
      <c r="A689" s="128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</row>
    <row r="690" spans="1:26" ht="14.4" x14ac:dyDescent="0.3">
      <c r="A690" s="128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</row>
    <row r="691" spans="1:26" ht="14.4" x14ac:dyDescent="0.3">
      <c r="A691" s="128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</row>
    <row r="692" spans="1:26" ht="14.4" x14ac:dyDescent="0.3">
      <c r="A692" s="128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</row>
    <row r="693" spans="1:26" ht="14.4" x14ac:dyDescent="0.3">
      <c r="A693" s="128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</row>
    <row r="694" spans="1:26" ht="14.4" x14ac:dyDescent="0.3">
      <c r="A694" s="128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</row>
    <row r="695" spans="1:26" ht="14.4" x14ac:dyDescent="0.3">
      <c r="A695" s="128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</row>
    <row r="696" spans="1:26" ht="14.4" x14ac:dyDescent="0.3">
      <c r="A696" s="128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</row>
    <row r="697" spans="1:26" ht="14.4" x14ac:dyDescent="0.3">
      <c r="A697" s="128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</row>
    <row r="698" spans="1:26" ht="14.4" x14ac:dyDescent="0.3">
      <c r="A698" s="128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</row>
    <row r="699" spans="1:26" ht="14.4" x14ac:dyDescent="0.3">
      <c r="A699" s="128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</row>
    <row r="700" spans="1:26" ht="14.4" x14ac:dyDescent="0.3">
      <c r="A700" s="128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</row>
    <row r="701" spans="1:26" ht="14.4" x14ac:dyDescent="0.3">
      <c r="A701" s="128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</row>
    <row r="702" spans="1:26" ht="14.4" x14ac:dyDescent="0.3">
      <c r="A702" s="128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</row>
    <row r="703" spans="1:26" ht="14.4" x14ac:dyDescent="0.3">
      <c r="A703" s="128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</row>
    <row r="704" spans="1:26" ht="14.4" x14ac:dyDescent="0.3">
      <c r="A704" s="128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</row>
    <row r="705" spans="1:26" ht="14.4" x14ac:dyDescent="0.3">
      <c r="A705" s="128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</row>
    <row r="706" spans="1:26" ht="14.4" x14ac:dyDescent="0.3">
      <c r="A706" s="128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</row>
    <row r="707" spans="1:26" ht="14.4" x14ac:dyDescent="0.3">
      <c r="A707" s="128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</row>
    <row r="708" spans="1:26" ht="14.4" x14ac:dyDescent="0.3">
      <c r="A708" s="128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</row>
    <row r="709" spans="1:26" ht="14.4" x14ac:dyDescent="0.3">
      <c r="A709" s="128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</row>
    <row r="710" spans="1:26" ht="14.4" x14ac:dyDescent="0.3">
      <c r="A710" s="128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</row>
    <row r="711" spans="1:26" ht="14.4" x14ac:dyDescent="0.3">
      <c r="A711" s="128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</row>
    <row r="712" spans="1:26" ht="14.4" x14ac:dyDescent="0.3">
      <c r="A712" s="128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</row>
    <row r="713" spans="1:26" ht="14.4" x14ac:dyDescent="0.3">
      <c r="A713" s="128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</row>
    <row r="714" spans="1:26" ht="14.4" x14ac:dyDescent="0.3">
      <c r="A714" s="128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</row>
    <row r="715" spans="1:26" ht="14.4" x14ac:dyDescent="0.3">
      <c r="A715" s="128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</row>
    <row r="716" spans="1:26" ht="14.4" x14ac:dyDescent="0.3">
      <c r="A716" s="128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</row>
    <row r="717" spans="1:26" ht="14.4" x14ac:dyDescent="0.3">
      <c r="A717" s="128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</row>
    <row r="718" spans="1:26" ht="14.4" x14ac:dyDescent="0.3">
      <c r="A718" s="128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</row>
    <row r="719" spans="1:26" ht="14.4" x14ac:dyDescent="0.3">
      <c r="A719" s="128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</row>
    <row r="720" spans="1:26" ht="14.4" x14ac:dyDescent="0.3">
      <c r="A720" s="128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</row>
    <row r="721" spans="1:26" ht="14.4" x14ac:dyDescent="0.3">
      <c r="A721" s="128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</row>
    <row r="722" spans="1:26" ht="14.4" x14ac:dyDescent="0.3">
      <c r="A722" s="128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</row>
    <row r="723" spans="1:26" ht="14.4" x14ac:dyDescent="0.3">
      <c r="A723" s="128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</row>
    <row r="724" spans="1:26" ht="14.4" x14ac:dyDescent="0.3">
      <c r="A724" s="128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</row>
    <row r="725" spans="1:26" ht="14.4" x14ac:dyDescent="0.3">
      <c r="A725" s="128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</row>
    <row r="726" spans="1:26" ht="14.4" x14ac:dyDescent="0.3">
      <c r="A726" s="128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</row>
    <row r="727" spans="1:26" ht="14.4" x14ac:dyDescent="0.3">
      <c r="A727" s="128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</row>
    <row r="728" spans="1:26" ht="14.4" x14ac:dyDescent="0.3">
      <c r="A728" s="128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</row>
    <row r="729" spans="1:26" ht="14.4" x14ac:dyDescent="0.3">
      <c r="A729" s="128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</row>
    <row r="730" spans="1:26" ht="14.4" x14ac:dyDescent="0.3">
      <c r="A730" s="128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</row>
    <row r="731" spans="1:26" ht="14.4" x14ac:dyDescent="0.3">
      <c r="A731" s="128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</row>
    <row r="732" spans="1:26" ht="14.4" x14ac:dyDescent="0.3">
      <c r="A732" s="128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</row>
    <row r="733" spans="1:26" ht="14.4" x14ac:dyDescent="0.3">
      <c r="A733" s="128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</row>
    <row r="734" spans="1:26" ht="14.4" x14ac:dyDescent="0.3">
      <c r="A734" s="128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</row>
    <row r="735" spans="1:26" ht="14.4" x14ac:dyDescent="0.3">
      <c r="A735" s="128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</row>
    <row r="736" spans="1:26" ht="14.4" x14ac:dyDescent="0.3">
      <c r="A736" s="128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</row>
    <row r="737" spans="1:26" ht="14.4" x14ac:dyDescent="0.3">
      <c r="A737" s="128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</row>
    <row r="738" spans="1:26" ht="14.4" x14ac:dyDescent="0.3">
      <c r="A738" s="128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</row>
    <row r="739" spans="1:26" ht="14.4" x14ac:dyDescent="0.3">
      <c r="A739" s="128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</row>
    <row r="740" spans="1:26" ht="14.4" x14ac:dyDescent="0.3">
      <c r="A740" s="128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</row>
    <row r="741" spans="1:26" ht="14.4" x14ac:dyDescent="0.3">
      <c r="A741" s="128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</row>
    <row r="742" spans="1:26" ht="14.4" x14ac:dyDescent="0.3">
      <c r="A742" s="128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</row>
    <row r="743" spans="1:26" ht="14.4" x14ac:dyDescent="0.3">
      <c r="A743" s="128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</row>
    <row r="744" spans="1:26" ht="14.4" x14ac:dyDescent="0.3">
      <c r="A744" s="128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</row>
    <row r="745" spans="1:26" ht="14.4" x14ac:dyDescent="0.3">
      <c r="A745" s="128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</row>
    <row r="746" spans="1:26" ht="14.4" x14ac:dyDescent="0.3">
      <c r="A746" s="128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</row>
    <row r="747" spans="1:26" ht="14.4" x14ac:dyDescent="0.3">
      <c r="A747" s="128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</row>
    <row r="748" spans="1:26" ht="14.4" x14ac:dyDescent="0.3">
      <c r="A748" s="128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</row>
    <row r="749" spans="1:26" ht="14.4" x14ac:dyDescent="0.3">
      <c r="A749" s="128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</row>
    <row r="750" spans="1:26" ht="14.4" x14ac:dyDescent="0.3">
      <c r="A750" s="128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</row>
    <row r="751" spans="1:26" ht="14.4" x14ac:dyDescent="0.3">
      <c r="A751" s="128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</row>
    <row r="752" spans="1:26" ht="14.4" x14ac:dyDescent="0.3">
      <c r="A752" s="128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</row>
    <row r="753" spans="1:26" ht="14.4" x14ac:dyDescent="0.3">
      <c r="A753" s="128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</row>
    <row r="754" spans="1:26" ht="14.4" x14ac:dyDescent="0.3">
      <c r="A754" s="128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</row>
    <row r="755" spans="1:26" ht="14.4" x14ac:dyDescent="0.3">
      <c r="A755" s="128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</row>
    <row r="756" spans="1:26" ht="14.4" x14ac:dyDescent="0.3">
      <c r="A756" s="128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</row>
    <row r="757" spans="1:26" ht="14.4" x14ac:dyDescent="0.3">
      <c r="A757" s="128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</row>
    <row r="758" spans="1:26" ht="14.4" x14ac:dyDescent="0.3">
      <c r="A758" s="128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</row>
    <row r="759" spans="1:26" ht="14.4" x14ac:dyDescent="0.3">
      <c r="A759" s="128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</row>
    <row r="760" spans="1:26" ht="14.4" x14ac:dyDescent="0.3">
      <c r="A760" s="128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</row>
    <row r="761" spans="1:26" ht="14.4" x14ac:dyDescent="0.3">
      <c r="A761" s="128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</row>
    <row r="762" spans="1:26" ht="14.4" x14ac:dyDescent="0.3">
      <c r="A762" s="128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</row>
    <row r="763" spans="1:26" ht="14.4" x14ac:dyDescent="0.3">
      <c r="A763" s="128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</row>
    <row r="764" spans="1:26" ht="14.4" x14ac:dyDescent="0.3">
      <c r="A764" s="128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</row>
    <row r="765" spans="1:26" ht="14.4" x14ac:dyDescent="0.3">
      <c r="A765" s="128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</row>
    <row r="766" spans="1:26" ht="14.4" x14ac:dyDescent="0.3">
      <c r="A766" s="128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</row>
    <row r="767" spans="1:26" ht="14.4" x14ac:dyDescent="0.3">
      <c r="A767" s="128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</row>
    <row r="768" spans="1:26" ht="14.4" x14ac:dyDescent="0.3">
      <c r="A768" s="128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</row>
    <row r="769" spans="1:26" ht="14.4" x14ac:dyDescent="0.3">
      <c r="A769" s="128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</row>
    <row r="770" spans="1:26" ht="14.4" x14ac:dyDescent="0.3">
      <c r="A770" s="128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</row>
    <row r="771" spans="1:26" ht="14.4" x14ac:dyDescent="0.3">
      <c r="A771" s="128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</row>
    <row r="772" spans="1:26" ht="14.4" x14ac:dyDescent="0.3">
      <c r="A772" s="128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</row>
    <row r="773" spans="1:26" ht="14.4" x14ac:dyDescent="0.3">
      <c r="A773" s="128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</row>
    <row r="774" spans="1:26" ht="14.4" x14ac:dyDescent="0.3">
      <c r="A774" s="128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</row>
    <row r="775" spans="1:26" ht="14.4" x14ac:dyDescent="0.3">
      <c r="A775" s="128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</row>
    <row r="776" spans="1:26" ht="14.4" x14ac:dyDescent="0.3">
      <c r="A776" s="128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</row>
    <row r="777" spans="1:26" ht="14.4" x14ac:dyDescent="0.3">
      <c r="A777" s="128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</row>
    <row r="778" spans="1:26" ht="14.4" x14ac:dyDescent="0.3">
      <c r="A778" s="128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</row>
    <row r="779" spans="1:26" ht="14.4" x14ac:dyDescent="0.3">
      <c r="A779" s="128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</row>
    <row r="780" spans="1:26" ht="14.4" x14ac:dyDescent="0.3">
      <c r="A780" s="128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</row>
    <row r="781" spans="1:26" ht="14.4" x14ac:dyDescent="0.3">
      <c r="A781" s="128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</row>
    <row r="782" spans="1:26" ht="14.4" x14ac:dyDescent="0.3">
      <c r="A782" s="128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</row>
    <row r="783" spans="1:26" ht="14.4" x14ac:dyDescent="0.3">
      <c r="A783" s="128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</row>
    <row r="784" spans="1:26" ht="14.4" x14ac:dyDescent="0.3">
      <c r="A784" s="128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</row>
    <row r="785" spans="1:26" ht="14.4" x14ac:dyDescent="0.3">
      <c r="A785" s="128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</row>
    <row r="786" spans="1:26" ht="14.4" x14ac:dyDescent="0.3">
      <c r="A786" s="128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</row>
    <row r="787" spans="1:26" ht="14.4" x14ac:dyDescent="0.3">
      <c r="A787" s="128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</row>
    <row r="788" spans="1:26" ht="14.4" x14ac:dyDescent="0.3">
      <c r="A788" s="128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</row>
    <row r="789" spans="1:26" ht="14.4" x14ac:dyDescent="0.3">
      <c r="A789" s="128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</row>
    <row r="790" spans="1:26" ht="14.4" x14ac:dyDescent="0.3">
      <c r="A790" s="128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</row>
    <row r="791" spans="1:26" ht="14.4" x14ac:dyDescent="0.3">
      <c r="A791" s="128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</row>
    <row r="792" spans="1:26" ht="14.4" x14ac:dyDescent="0.3">
      <c r="A792" s="128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</row>
    <row r="793" spans="1:26" ht="14.4" x14ac:dyDescent="0.3">
      <c r="A793" s="128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</row>
    <row r="794" spans="1:26" ht="14.4" x14ac:dyDescent="0.3">
      <c r="A794" s="128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</row>
    <row r="795" spans="1:26" ht="14.4" x14ac:dyDescent="0.3">
      <c r="A795" s="128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</row>
    <row r="796" spans="1:26" ht="14.4" x14ac:dyDescent="0.3">
      <c r="A796" s="128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</row>
    <row r="797" spans="1:26" ht="14.4" x14ac:dyDescent="0.3">
      <c r="A797" s="128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</row>
    <row r="798" spans="1:26" ht="14.4" x14ac:dyDescent="0.3">
      <c r="A798" s="128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</row>
    <row r="799" spans="1:26" ht="14.4" x14ac:dyDescent="0.3">
      <c r="A799" s="128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</row>
    <row r="800" spans="1:26" ht="14.4" x14ac:dyDescent="0.3">
      <c r="A800" s="128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</row>
    <row r="801" spans="1:26" ht="14.4" x14ac:dyDescent="0.3">
      <c r="A801" s="128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</row>
    <row r="802" spans="1:26" ht="14.4" x14ac:dyDescent="0.3">
      <c r="A802" s="128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</row>
    <row r="803" spans="1:26" ht="14.4" x14ac:dyDescent="0.3">
      <c r="A803" s="128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</row>
    <row r="804" spans="1:26" ht="14.4" x14ac:dyDescent="0.3">
      <c r="A804" s="128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</row>
    <row r="805" spans="1:26" ht="14.4" x14ac:dyDescent="0.3">
      <c r="A805" s="128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</row>
    <row r="806" spans="1:26" ht="14.4" x14ac:dyDescent="0.3">
      <c r="A806" s="128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</row>
    <row r="807" spans="1:26" ht="14.4" x14ac:dyDescent="0.3">
      <c r="A807" s="128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</row>
    <row r="808" spans="1:26" ht="14.4" x14ac:dyDescent="0.3">
      <c r="A808" s="128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</row>
    <row r="809" spans="1:26" ht="14.4" x14ac:dyDescent="0.3">
      <c r="A809" s="128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</row>
    <row r="810" spans="1:26" ht="14.4" x14ac:dyDescent="0.3">
      <c r="A810" s="128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</row>
    <row r="811" spans="1:26" ht="14.4" x14ac:dyDescent="0.3">
      <c r="A811" s="128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</row>
    <row r="812" spans="1:26" ht="14.4" x14ac:dyDescent="0.3">
      <c r="A812" s="128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</row>
    <row r="813" spans="1:26" ht="14.4" x14ac:dyDescent="0.3">
      <c r="A813" s="128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</row>
    <row r="814" spans="1:26" ht="14.4" x14ac:dyDescent="0.3">
      <c r="A814" s="128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</row>
    <row r="815" spans="1:26" ht="14.4" x14ac:dyDescent="0.3">
      <c r="A815" s="128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</row>
    <row r="816" spans="1:26" ht="14.4" x14ac:dyDescent="0.3">
      <c r="A816" s="128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</row>
    <row r="817" spans="1:26" ht="14.4" x14ac:dyDescent="0.3">
      <c r="A817" s="128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</row>
    <row r="818" spans="1:26" ht="14.4" x14ac:dyDescent="0.3">
      <c r="A818" s="128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</row>
    <row r="819" spans="1:26" ht="14.4" x14ac:dyDescent="0.3">
      <c r="A819" s="128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</row>
    <row r="820" spans="1:26" ht="14.4" x14ac:dyDescent="0.3">
      <c r="A820" s="128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</row>
    <row r="821" spans="1:26" ht="14.4" x14ac:dyDescent="0.3">
      <c r="A821" s="128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</row>
    <row r="822" spans="1:26" ht="14.4" x14ac:dyDescent="0.3">
      <c r="A822" s="128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</row>
    <row r="823" spans="1:26" ht="14.4" x14ac:dyDescent="0.3">
      <c r="A823" s="128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</row>
    <row r="824" spans="1:26" ht="14.4" x14ac:dyDescent="0.3">
      <c r="A824" s="128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</row>
    <row r="825" spans="1:26" ht="14.4" x14ac:dyDescent="0.3">
      <c r="A825" s="128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</row>
    <row r="826" spans="1:26" ht="14.4" x14ac:dyDescent="0.3">
      <c r="A826" s="128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</row>
    <row r="827" spans="1:26" ht="14.4" x14ac:dyDescent="0.3">
      <c r="A827" s="128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</row>
    <row r="828" spans="1:26" ht="14.4" x14ac:dyDescent="0.3">
      <c r="A828" s="128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</row>
    <row r="829" spans="1:26" ht="14.4" x14ac:dyDescent="0.3">
      <c r="A829" s="128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</row>
    <row r="830" spans="1:26" ht="14.4" x14ac:dyDescent="0.3">
      <c r="A830" s="128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</row>
    <row r="831" spans="1:26" ht="14.4" x14ac:dyDescent="0.3">
      <c r="A831" s="128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</row>
    <row r="832" spans="1:26" ht="14.4" x14ac:dyDescent="0.3">
      <c r="A832" s="128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</row>
    <row r="833" spans="1:26" ht="14.4" x14ac:dyDescent="0.3">
      <c r="A833" s="128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</row>
    <row r="834" spans="1:26" ht="14.4" x14ac:dyDescent="0.3">
      <c r="A834" s="128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</row>
    <row r="835" spans="1:26" ht="14.4" x14ac:dyDescent="0.3">
      <c r="A835" s="128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</row>
    <row r="836" spans="1:26" ht="14.4" x14ac:dyDescent="0.3">
      <c r="A836" s="128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</row>
    <row r="837" spans="1:26" ht="14.4" x14ac:dyDescent="0.3">
      <c r="A837" s="128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</row>
    <row r="838" spans="1:26" ht="14.4" x14ac:dyDescent="0.3">
      <c r="A838" s="128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</row>
    <row r="839" spans="1:26" ht="14.4" x14ac:dyDescent="0.3">
      <c r="A839" s="128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</row>
    <row r="840" spans="1:26" ht="14.4" x14ac:dyDescent="0.3">
      <c r="A840" s="128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</row>
    <row r="841" spans="1:26" ht="14.4" x14ac:dyDescent="0.3">
      <c r="A841" s="128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</row>
    <row r="842" spans="1:26" ht="14.4" x14ac:dyDescent="0.3">
      <c r="A842" s="128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</row>
    <row r="843" spans="1:26" ht="14.4" x14ac:dyDescent="0.3">
      <c r="A843" s="128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</row>
    <row r="844" spans="1:26" ht="14.4" x14ac:dyDescent="0.3">
      <c r="A844" s="128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</row>
    <row r="845" spans="1:26" ht="14.4" x14ac:dyDescent="0.3">
      <c r="A845" s="128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</row>
    <row r="846" spans="1:26" ht="14.4" x14ac:dyDescent="0.3">
      <c r="A846" s="128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</row>
    <row r="847" spans="1:26" ht="14.4" x14ac:dyDescent="0.3">
      <c r="A847" s="128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</row>
    <row r="848" spans="1:26" ht="14.4" x14ac:dyDescent="0.3">
      <c r="A848" s="128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</row>
    <row r="849" spans="1:26" ht="14.4" x14ac:dyDescent="0.3">
      <c r="A849" s="128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</row>
    <row r="850" spans="1:26" ht="14.4" x14ac:dyDescent="0.3">
      <c r="A850" s="128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</row>
    <row r="851" spans="1:26" ht="14.4" x14ac:dyDescent="0.3">
      <c r="A851" s="128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</row>
    <row r="852" spans="1:26" ht="14.4" x14ac:dyDescent="0.3">
      <c r="A852" s="128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</row>
    <row r="853" spans="1:26" ht="14.4" x14ac:dyDescent="0.3">
      <c r="A853" s="128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</row>
    <row r="854" spans="1:26" ht="14.4" x14ac:dyDescent="0.3">
      <c r="A854" s="128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</row>
    <row r="855" spans="1:26" ht="14.4" x14ac:dyDescent="0.3">
      <c r="A855" s="128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</row>
    <row r="856" spans="1:26" ht="14.4" x14ac:dyDescent="0.3">
      <c r="A856" s="128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</row>
    <row r="857" spans="1:26" ht="14.4" x14ac:dyDescent="0.3">
      <c r="A857" s="128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</row>
    <row r="858" spans="1:26" ht="14.4" x14ac:dyDescent="0.3">
      <c r="A858" s="128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</row>
    <row r="859" spans="1:26" ht="14.4" x14ac:dyDescent="0.3">
      <c r="A859" s="128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</row>
    <row r="860" spans="1:26" ht="14.4" x14ac:dyDescent="0.3">
      <c r="A860" s="128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</row>
    <row r="861" spans="1:26" ht="14.4" x14ac:dyDescent="0.3">
      <c r="A861" s="128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</row>
    <row r="862" spans="1:26" ht="14.4" x14ac:dyDescent="0.3">
      <c r="A862" s="128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</row>
    <row r="863" spans="1:26" ht="14.4" x14ac:dyDescent="0.3">
      <c r="A863" s="128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</row>
    <row r="864" spans="1:26" ht="14.4" x14ac:dyDescent="0.3">
      <c r="A864" s="128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</row>
    <row r="865" spans="1:26" ht="14.4" x14ac:dyDescent="0.3">
      <c r="A865" s="128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</row>
    <row r="866" spans="1:26" ht="14.4" x14ac:dyDescent="0.3">
      <c r="A866" s="128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</row>
    <row r="867" spans="1:26" ht="14.4" x14ac:dyDescent="0.3">
      <c r="A867" s="128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</row>
    <row r="868" spans="1:26" ht="14.4" x14ac:dyDescent="0.3">
      <c r="A868" s="128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</row>
    <row r="869" spans="1:26" ht="14.4" x14ac:dyDescent="0.3">
      <c r="A869" s="128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</row>
    <row r="870" spans="1:26" ht="14.4" x14ac:dyDescent="0.3">
      <c r="A870" s="128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</row>
    <row r="871" spans="1:26" ht="14.4" x14ac:dyDescent="0.3">
      <c r="A871" s="128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</row>
    <row r="872" spans="1:26" ht="14.4" x14ac:dyDescent="0.3">
      <c r="A872" s="128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</row>
    <row r="873" spans="1:26" ht="14.4" x14ac:dyDescent="0.3">
      <c r="A873" s="128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</row>
    <row r="874" spans="1:26" ht="14.4" x14ac:dyDescent="0.3">
      <c r="A874" s="128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</row>
    <row r="875" spans="1:26" ht="14.4" x14ac:dyDescent="0.3">
      <c r="A875" s="128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</row>
    <row r="876" spans="1:26" ht="14.4" x14ac:dyDescent="0.3">
      <c r="A876" s="128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</row>
    <row r="877" spans="1:26" ht="14.4" x14ac:dyDescent="0.3">
      <c r="A877" s="128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</row>
    <row r="878" spans="1:26" ht="14.4" x14ac:dyDescent="0.3">
      <c r="A878" s="128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</row>
    <row r="879" spans="1:26" ht="14.4" x14ac:dyDescent="0.3">
      <c r="A879" s="128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</row>
    <row r="880" spans="1:26" ht="14.4" x14ac:dyDescent="0.3">
      <c r="A880" s="128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</row>
    <row r="881" spans="1:26" ht="14.4" x14ac:dyDescent="0.3">
      <c r="A881" s="128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</row>
    <row r="882" spans="1:26" ht="14.4" x14ac:dyDescent="0.3">
      <c r="A882" s="128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</row>
    <row r="883" spans="1:26" ht="14.4" x14ac:dyDescent="0.3">
      <c r="A883" s="128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</row>
    <row r="884" spans="1:26" ht="14.4" x14ac:dyDescent="0.3">
      <c r="A884" s="128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</row>
    <row r="885" spans="1:26" ht="14.4" x14ac:dyDescent="0.3">
      <c r="A885" s="128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</row>
    <row r="886" spans="1:26" ht="14.4" x14ac:dyDescent="0.3">
      <c r="A886" s="128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</row>
    <row r="887" spans="1:26" ht="14.4" x14ac:dyDescent="0.3">
      <c r="A887" s="128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</row>
    <row r="888" spans="1:26" ht="14.4" x14ac:dyDescent="0.3">
      <c r="A888" s="128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</row>
    <row r="889" spans="1:26" ht="14.4" x14ac:dyDescent="0.3">
      <c r="A889" s="128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</row>
    <row r="890" spans="1:26" ht="14.4" x14ac:dyDescent="0.3">
      <c r="A890" s="128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</row>
    <row r="891" spans="1:26" ht="14.4" x14ac:dyDescent="0.3">
      <c r="A891" s="128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</row>
    <row r="892" spans="1:26" ht="14.4" x14ac:dyDescent="0.3">
      <c r="A892" s="128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</row>
    <row r="893" spans="1:26" ht="14.4" x14ac:dyDescent="0.3">
      <c r="A893" s="128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</row>
    <row r="894" spans="1:26" ht="14.4" x14ac:dyDescent="0.3">
      <c r="A894" s="128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</row>
    <row r="895" spans="1:26" ht="14.4" x14ac:dyDescent="0.3">
      <c r="A895" s="128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</row>
    <row r="896" spans="1:26" ht="14.4" x14ac:dyDescent="0.3">
      <c r="A896" s="128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</row>
    <row r="897" spans="1:26" ht="14.4" x14ac:dyDescent="0.3">
      <c r="A897" s="128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</row>
    <row r="898" spans="1:26" ht="14.4" x14ac:dyDescent="0.3">
      <c r="A898" s="128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</row>
    <row r="899" spans="1:26" ht="14.4" x14ac:dyDescent="0.3">
      <c r="A899" s="128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</row>
    <row r="900" spans="1:26" ht="14.4" x14ac:dyDescent="0.3">
      <c r="A900" s="128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</row>
    <row r="901" spans="1:26" ht="14.4" x14ac:dyDescent="0.3">
      <c r="A901" s="128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</row>
    <row r="902" spans="1:26" ht="14.4" x14ac:dyDescent="0.3">
      <c r="A902" s="128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</row>
    <row r="903" spans="1:26" ht="14.4" x14ac:dyDescent="0.3">
      <c r="A903" s="128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</row>
    <row r="904" spans="1:26" ht="14.4" x14ac:dyDescent="0.3">
      <c r="A904" s="128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</row>
    <row r="905" spans="1:26" ht="14.4" x14ac:dyDescent="0.3">
      <c r="A905" s="128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</row>
    <row r="906" spans="1:26" ht="14.4" x14ac:dyDescent="0.3">
      <c r="A906" s="128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</row>
    <row r="907" spans="1:26" ht="14.4" x14ac:dyDescent="0.3">
      <c r="A907" s="128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</row>
    <row r="908" spans="1:26" ht="14.4" x14ac:dyDescent="0.3">
      <c r="A908" s="128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</row>
    <row r="909" spans="1:26" ht="14.4" x14ac:dyDescent="0.3">
      <c r="A909" s="128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</row>
    <row r="910" spans="1:26" ht="14.4" x14ac:dyDescent="0.3">
      <c r="A910" s="128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</row>
    <row r="911" spans="1:26" ht="14.4" x14ac:dyDescent="0.3">
      <c r="A911" s="128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</row>
    <row r="912" spans="1:26" ht="14.4" x14ac:dyDescent="0.3">
      <c r="A912" s="128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</row>
    <row r="913" spans="1:26" ht="14.4" x14ac:dyDescent="0.3">
      <c r="A913" s="128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</row>
    <row r="914" spans="1:26" ht="14.4" x14ac:dyDescent="0.3">
      <c r="A914" s="128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  <c r="W914" s="128"/>
      <c r="X914" s="128"/>
      <c r="Y914" s="128"/>
      <c r="Z914" s="128"/>
    </row>
    <row r="915" spans="1:26" ht="14.4" x14ac:dyDescent="0.3">
      <c r="A915" s="128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  <c r="W915" s="128"/>
      <c r="X915" s="128"/>
      <c r="Y915" s="128"/>
      <c r="Z915" s="128"/>
    </row>
    <row r="916" spans="1:26" ht="14.4" x14ac:dyDescent="0.3">
      <c r="A916" s="128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  <c r="W916" s="128"/>
      <c r="X916" s="128"/>
      <c r="Y916" s="128"/>
      <c r="Z916" s="128"/>
    </row>
    <row r="917" spans="1:26" ht="14.4" x14ac:dyDescent="0.3">
      <c r="A917" s="128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  <c r="W917" s="128"/>
      <c r="X917" s="128"/>
      <c r="Y917" s="128"/>
      <c r="Z917" s="128"/>
    </row>
    <row r="918" spans="1:26" ht="14.4" x14ac:dyDescent="0.3">
      <c r="A918" s="128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  <c r="W918" s="128"/>
      <c r="X918" s="128"/>
      <c r="Y918" s="128"/>
      <c r="Z918" s="128"/>
    </row>
    <row r="919" spans="1:26" ht="14.4" x14ac:dyDescent="0.3">
      <c r="A919" s="128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  <c r="W919" s="128"/>
      <c r="X919" s="128"/>
      <c r="Y919" s="128"/>
      <c r="Z919" s="128"/>
    </row>
    <row r="920" spans="1:26" ht="14.4" x14ac:dyDescent="0.3">
      <c r="A920" s="128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  <c r="W920" s="128"/>
      <c r="X920" s="128"/>
      <c r="Y920" s="128"/>
      <c r="Z920" s="128"/>
    </row>
    <row r="921" spans="1:26" ht="14.4" x14ac:dyDescent="0.3">
      <c r="A921" s="128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  <c r="W921" s="128"/>
      <c r="X921" s="128"/>
      <c r="Y921" s="128"/>
      <c r="Z921" s="128"/>
    </row>
    <row r="922" spans="1:26" ht="14.4" x14ac:dyDescent="0.3">
      <c r="A922" s="128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  <c r="W922" s="128"/>
      <c r="X922" s="128"/>
      <c r="Y922" s="128"/>
      <c r="Z922" s="128"/>
    </row>
    <row r="923" spans="1:26" ht="14.4" x14ac:dyDescent="0.3">
      <c r="A923" s="128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  <c r="W923" s="128"/>
      <c r="X923" s="128"/>
      <c r="Y923" s="128"/>
      <c r="Z923" s="128"/>
    </row>
    <row r="924" spans="1:26" ht="14.4" x14ac:dyDescent="0.3">
      <c r="A924" s="128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  <c r="W924" s="128"/>
      <c r="X924" s="128"/>
      <c r="Y924" s="128"/>
      <c r="Z924" s="128"/>
    </row>
    <row r="925" spans="1:26" ht="14.4" x14ac:dyDescent="0.3">
      <c r="A925" s="128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  <c r="W925" s="128"/>
      <c r="X925" s="128"/>
      <c r="Y925" s="128"/>
      <c r="Z925" s="128"/>
    </row>
    <row r="926" spans="1:26" ht="14.4" x14ac:dyDescent="0.3">
      <c r="A926" s="128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  <c r="W926" s="128"/>
      <c r="X926" s="128"/>
      <c r="Y926" s="128"/>
      <c r="Z926" s="128"/>
    </row>
    <row r="927" spans="1:26" ht="14.4" x14ac:dyDescent="0.3">
      <c r="A927" s="128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  <c r="W927" s="128"/>
      <c r="X927" s="128"/>
      <c r="Y927" s="128"/>
      <c r="Z927" s="128"/>
    </row>
    <row r="928" spans="1:26" ht="14.4" x14ac:dyDescent="0.3">
      <c r="A928" s="128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  <c r="W928" s="128"/>
      <c r="X928" s="128"/>
      <c r="Y928" s="128"/>
      <c r="Z928" s="128"/>
    </row>
    <row r="929" spans="1:26" ht="14.4" x14ac:dyDescent="0.3">
      <c r="A929" s="128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  <c r="W929" s="128"/>
      <c r="X929" s="128"/>
      <c r="Y929" s="128"/>
      <c r="Z929" s="128"/>
    </row>
    <row r="930" spans="1:26" ht="14.4" x14ac:dyDescent="0.3">
      <c r="A930" s="128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  <c r="W930" s="128"/>
      <c r="X930" s="128"/>
      <c r="Y930" s="128"/>
      <c r="Z930" s="128"/>
    </row>
    <row r="931" spans="1:26" ht="14.4" x14ac:dyDescent="0.3">
      <c r="A931" s="128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  <c r="W931" s="128"/>
      <c r="X931" s="128"/>
      <c r="Y931" s="128"/>
      <c r="Z931" s="128"/>
    </row>
    <row r="932" spans="1:26" ht="14.4" x14ac:dyDescent="0.3">
      <c r="A932" s="128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  <c r="W932" s="128"/>
      <c r="X932" s="128"/>
      <c r="Y932" s="128"/>
      <c r="Z932" s="128"/>
    </row>
    <row r="933" spans="1:26" ht="14.4" x14ac:dyDescent="0.3">
      <c r="A933" s="128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  <c r="W933" s="128"/>
      <c r="X933" s="128"/>
      <c r="Y933" s="128"/>
      <c r="Z933" s="128"/>
    </row>
    <row r="934" spans="1:26" ht="14.4" x14ac:dyDescent="0.3">
      <c r="A934" s="128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  <c r="W934" s="128"/>
      <c r="X934" s="128"/>
      <c r="Y934" s="128"/>
      <c r="Z934" s="128"/>
    </row>
    <row r="935" spans="1:26" ht="14.4" x14ac:dyDescent="0.3">
      <c r="A935" s="128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  <c r="W935" s="128"/>
      <c r="X935" s="128"/>
      <c r="Y935" s="128"/>
      <c r="Z935" s="128"/>
    </row>
    <row r="936" spans="1:26" ht="14.4" x14ac:dyDescent="0.3">
      <c r="A936" s="128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  <c r="W936" s="128"/>
      <c r="X936" s="128"/>
      <c r="Y936" s="128"/>
      <c r="Z936" s="128"/>
    </row>
    <row r="937" spans="1:26" ht="14.4" x14ac:dyDescent="0.3">
      <c r="A937" s="128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  <c r="W937" s="128"/>
      <c r="X937" s="128"/>
      <c r="Y937" s="128"/>
      <c r="Z937" s="128"/>
    </row>
    <row r="938" spans="1:26" ht="14.4" x14ac:dyDescent="0.3">
      <c r="A938" s="128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  <c r="W938" s="128"/>
      <c r="X938" s="128"/>
      <c r="Y938" s="128"/>
      <c r="Z938" s="128"/>
    </row>
    <row r="939" spans="1:26" ht="14.4" x14ac:dyDescent="0.3">
      <c r="A939" s="128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  <c r="W939" s="128"/>
      <c r="X939" s="128"/>
      <c r="Y939" s="128"/>
      <c r="Z939" s="128"/>
    </row>
    <row r="940" spans="1:26" ht="14.4" x14ac:dyDescent="0.3">
      <c r="A940" s="128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  <c r="W940" s="128"/>
      <c r="X940" s="128"/>
      <c r="Y940" s="128"/>
      <c r="Z940" s="128"/>
    </row>
    <row r="941" spans="1:26" ht="14.4" x14ac:dyDescent="0.3">
      <c r="A941" s="128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  <c r="W941" s="128"/>
      <c r="X941" s="128"/>
      <c r="Y941" s="128"/>
      <c r="Z941" s="128"/>
    </row>
    <row r="942" spans="1:26" ht="14.4" x14ac:dyDescent="0.3">
      <c r="A942" s="128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  <c r="W942" s="128"/>
      <c r="X942" s="128"/>
      <c r="Y942" s="128"/>
      <c r="Z942" s="128"/>
    </row>
    <row r="943" spans="1:26" ht="14.4" x14ac:dyDescent="0.3">
      <c r="A943" s="128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  <c r="W943" s="128"/>
      <c r="X943" s="128"/>
      <c r="Y943" s="128"/>
      <c r="Z943" s="128"/>
    </row>
    <row r="944" spans="1:26" ht="14.4" x14ac:dyDescent="0.3">
      <c r="A944" s="128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  <c r="W944" s="128"/>
      <c r="X944" s="128"/>
      <c r="Y944" s="128"/>
      <c r="Z944" s="128"/>
    </row>
    <row r="945" spans="1:26" ht="14.4" x14ac:dyDescent="0.3">
      <c r="A945" s="128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  <c r="W945" s="128"/>
      <c r="X945" s="128"/>
      <c r="Y945" s="128"/>
      <c r="Z945" s="128"/>
    </row>
    <row r="946" spans="1:26" ht="14.4" x14ac:dyDescent="0.3">
      <c r="A946" s="128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  <c r="W946" s="128"/>
      <c r="X946" s="128"/>
      <c r="Y946" s="128"/>
      <c r="Z946" s="128"/>
    </row>
    <row r="947" spans="1:26" ht="14.4" x14ac:dyDescent="0.3">
      <c r="A947" s="128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  <c r="W947" s="128"/>
      <c r="X947" s="128"/>
      <c r="Y947" s="128"/>
      <c r="Z947" s="128"/>
    </row>
    <row r="948" spans="1:26" ht="14.4" x14ac:dyDescent="0.3">
      <c r="A948" s="128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  <c r="W948" s="128"/>
      <c r="X948" s="128"/>
      <c r="Y948" s="128"/>
      <c r="Z948" s="128"/>
    </row>
    <row r="949" spans="1:26" ht="14.4" x14ac:dyDescent="0.3">
      <c r="A949" s="128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  <c r="W949" s="128"/>
      <c r="X949" s="128"/>
      <c r="Y949" s="128"/>
      <c r="Z949" s="128"/>
    </row>
    <row r="950" spans="1:26" ht="14.4" x14ac:dyDescent="0.3">
      <c r="A950" s="128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  <c r="W950" s="128"/>
      <c r="X950" s="128"/>
      <c r="Y950" s="128"/>
      <c r="Z950" s="128"/>
    </row>
    <row r="951" spans="1:26" ht="14.4" x14ac:dyDescent="0.3">
      <c r="A951" s="128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  <c r="W951" s="128"/>
      <c r="X951" s="128"/>
      <c r="Y951" s="128"/>
      <c r="Z951" s="128"/>
    </row>
    <row r="952" spans="1:26" ht="14.4" x14ac:dyDescent="0.3">
      <c r="A952" s="128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  <c r="W952" s="128"/>
      <c r="X952" s="128"/>
      <c r="Y952" s="128"/>
      <c r="Z952" s="128"/>
    </row>
    <row r="953" spans="1:26" ht="14.4" x14ac:dyDescent="0.3">
      <c r="A953" s="128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  <c r="W953" s="128"/>
      <c r="X953" s="128"/>
      <c r="Y953" s="128"/>
      <c r="Z953" s="128"/>
    </row>
    <row r="954" spans="1:26" ht="14.4" x14ac:dyDescent="0.3">
      <c r="A954" s="128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  <c r="W954" s="128"/>
      <c r="X954" s="128"/>
      <c r="Y954" s="128"/>
      <c r="Z954" s="128"/>
    </row>
    <row r="955" spans="1:26" ht="14.4" x14ac:dyDescent="0.3">
      <c r="A955" s="128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  <c r="W955" s="128"/>
      <c r="X955" s="128"/>
      <c r="Y955" s="128"/>
      <c r="Z955" s="128"/>
    </row>
    <row r="956" spans="1:26" ht="14.4" x14ac:dyDescent="0.3">
      <c r="A956" s="128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  <c r="W956" s="128"/>
      <c r="X956" s="128"/>
      <c r="Y956" s="128"/>
      <c r="Z956" s="128"/>
    </row>
    <row r="957" spans="1:26" ht="14.4" x14ac:dyDescent="0.3">
      <c r="A957" s="128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  <c r="W957" s="128"/>
      <c r="X957" s="128"/>
      <c r="Y957" s="128"/>
      <c r="Z957" s="128"/>
    </row>
    <row r="958" spans="1:26" ht="14.4" x14ac:dyDescent="0.3">
      <c r="A958" s="128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128"/>
      <c r="T958" s="128"/>
      <c r="U958" s="128"/>
      <c r="V958" s="128"/>
      <c r="W958" s="128"/>
      <c r="X958" s="128"/>
      <c r="Y958" s="128"/>
      <c r="Z958" s="128"/>
    </row>
    <row r="959" spans="1:26" ht="14.4" x14ac:dyDescent="0.3">
      <c r="A959" s="128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128"/>
      <c r="T959" s="128"/>
      <c r="U959" s="128"/>
      <c r="V959" s="128"/>
      <c r="W959" s="128"/>
      <c r="X959" s="128"/>
      <c r="Y959" s="128"/>
      <c r="Z959" s="128"/>
    </row>
    <row r="960" spans="1:26" ht="14.4" x14ac:dyDescent="0.3">
      <c r="A960" s="128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128"/>
      <c r="T960" s="128"/>
      <c r="U960" s="128"/>
      <c r="V960" s="128"/>
      <c r="W960" s="128"/>
      <c r="X960" s="128"/>
      <c r="Y960" s="128"/>
      <c r="Z960" s="128"/>
    </row>
    <row r="961" spans="1:26" ht="14.4" x14ac:dyDescent="0.3">
      <c r="A961" s="128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128"/>
      <c r="T961" s="128"/>
      <c r="U961" s="128"/>
      <c r="V961" s="128"/>
      <c r="W961" s="128"/>
      <c r="X961" s="128"/>
      <c r="Y961" s="128"/>
      <c r="Z961" s="128"/>
    </row>
    <row r="962" spans="1:26" ht="14.4" x14ac:dyDescent="0.3">
      <c r="A962" s="128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128"/>
      <c r="T962" s="128"/>
      <c r="U962" s="128"/>
      <c r="V962" s="128"/>
      <c r="W962" s="128"/>
      <c r="X962" s="128"/>
      <c r="Y962" s="128"/>
      <c r="Z962" s="128"/>
    </row>
    <row r="963" spans="1:26" ht="14.4" x14ac:dyDescent="0.3">
      <c r="A963" s="128"/>
      <c r="B963" s="128"/>
      <c r="C963" s="128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128"/>
      <c r="T963" s="128"/>
      <c r="U963" s="128"/>
      <c r="V963" s="128"/>
      <c r="W963" s="128"/>
      <c r="X963" s="128"/>
      <c r="Y963" s="128"/>
      <c r="Z963" s="128"/>
    </row>
    <row r="964" spans="1:26" ht="14.4" x14ac:dyDescent="0.3">
      <c r="A964" s="128"/>
      <c r="B964" s="128"/>
      <c r="C964" s="128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128"/>
      <c r="T964" s="128"/>
      <c r="U964" s="128"/>
      <c r="V964" s="128"/>
      <c r="W964" s="128"/>
      <c r="X964" s="128"/>
      <c r="Y964" s="128"/>
      <c r="Z964" s="128"/>
    </row>
    <row r="965" spans="1:26" ht="14.4" x14ac:dyDescent="0.3">
      <c r="A965" s="128"/>
      <c r="B965" s="128"/>
      <c r="C965" s="128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128"/>
      <c r="T965" s="128"/>
      <c r="U965" s="128"/>
      <c r="V965" s="128"/>
      <c r="W965" s="128"/>
      <c r="X965" s="128"/>
      <c r="Y965" s="128"/>
      <c r="Z965" s="128"/>
    </row>
    <row r="966" spans="1:26" ht="14.4" x14ac:dyDescent="0.3">
      <c r="A966" s="128"/>
      <c r="B966" s="128"/>
      <c r="C966" s="128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128"/>
      <c r="T966" s="128"/>
      <c r="U966" s="128"/>
      <c r="V966" s="128"/>
      <c r="W966" s="128"/>
      <c r="X966" s="128"/>
      <c r="Y966" s="128"/>
      <c r="Z966" s="128"/>
    </row>
    <row r="967" spans="1:26" ht="14.4" x14ac:dyDescent="0.3">
      <c r="A967" s="128"/>
      <c r="B967" s="128"/>
      <c r="C967" s="128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8"/>
      <c r="S967" s="128"/>
      <c r="T967" s="128"/>
      <c r="U967" s="128"/>
      <c r="V967" s="128"/>
      <c r="W967" s="128"/>
      <c r="X967" s="128"/>
      <c r="Y967" s="128"/>
      <c r="Z967" s="128"/>
    </row>
    <row r="968" spans="1:26" ht="14.4" x14ac:dyDescent="0.3">
      <c r="A968" s="128"/>
      <c r="B968" s="128"/>
      <c r="C968" s="128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8"/>
      <c r="S968" s="128"/>
      <c r="T968" s="128"/>
      <c r="U968" s="128"/>
      <c r="V968" s="128"/>
      <c r="W968" s="128"/>
      <c r="X968" s="128"/>
      <c r="Y968" s="128"/>
      <c r="Z968" s="128"/>
    </row>
    <row r="969" spans="1:26" ht="14.4" x14ac:dyDescent="0.3">
      <c r="A969" s="128"/>
      <c r="B969" s="128"/>
      <c r="C969" s="128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8"/>
      <c r="S969" s="128"/>
      <c r="T969" s="128"/>
      <c r="U969" s="128"/>
      <c r="V969" s="128"/>
      <c r="W969" s="128"/>
      <c r="X969" s="128"/>
      <c r="Y969" s="128"/>
      <c r="Z969" s="128"/>
    </row>
    <row r="970" spans="1:26" ht="14.4" x14ac:dyDescent="0.3">
      <c r="A970" s="128"/>
      <c r="B970" s="128"/>
      <c r="C970" s="128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8"/>
      <c r="S970" s="128"/>
      <c r="T970" s="128"/>
      <c r="U970" s="128"/>
      <c r="V970" s="128"/>
      <c r="W970" s="128"/>
      <c r="X970" s="128"/>
      <c r="Y970" s="128"/>
      <c r="Z970" s="128"/>
    </row>
    <row r="971" spans="1:26" ht="14.4" x14ac:dyDescent="0.3">
      <c r="A971" s="128"/>
      <c r="B971" s="128"/>
      <c r="C971" s="128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8"/>
      <c r="S971" s="128"/>
      <c r="T971" s="128"/>
      <c r="U971" s="128"/>
      <c r="V971" s="128"/>
      <c r="W971" s="128"/>
      <c r="X971" s="128"/>
      <c r="Y971" s="128"/>
      <c r="Z971" s="128"/>
    </row>
    <row r="972" spans="1:26" ht="14.4" x14ac:dyDescent="0.3">
      <c r="A972" s="128"/>
      <c r="B972" s="128"/>
      <c r="C972" s="128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8"/>
      <c r="S972" s="128"/>
      <c r="T972" s="128"/>
      <c r="U972" s="128"/>
      <c r="V972" s="128"/>
      <c r="W972" s="128"/>
      <c r="X972" s="128"/>
      <c r="Y972" s="128"/>
      <c r="Z972" s="128"/>
    </row>
    <row r="973" spans="1:26" ht="14.4" x14ac:dyDescent="0.3">
      <c r="A973" s="128"/>
      <c r="B973" s="128"/>
      <c r="C973" s="128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8"/>
      <c r="S973" s="128"/>
      <c r="T973" s="128"/>
      <c r="U973" s="128"/>
      <c r="V973" s="128"/>
      <c r="W973" s="128"/>
      <c r="X973" s="128"/>
      <c r="Y973" s="128"/>
      <c r="Z973" s="128"/>
    </row>
    <row r="974" spans="1:26" ht="14.4" x14ac:dyDescent="0.3">
      <c r="A974" s="128"/>
      <c r="B974" s="128"/>
      <c r="C974" s="128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8"/>
      <c r="S974" s="128"/>
      <c r="T974" s="128"/>
      <c r="U974" s="128"/>
      <c r="V974" s="128"/>
      <c r="W974" s="128"/>
      <c r="X974" s="128"/>
      <c r="Y974" s="128"/>
      <c r="Z974" s="128"/>
    </row>
    <row r="975" spans="1:26" ht="14.4" x14ac:dyDescent="0.3">
      <c r="A975" s="128"/>
      <c r="B975" s="128"/>
      <c r="C975" s="128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  <c r="S975" s="128"/>
      <c r="T975" s="128"/>
      <c r="U975" s="128"/>
      <c r="V975" s="128"/>
      <c r="W975" s="128"/>
      <c r="X975" s="128"/>
      <c r="Y975" s="128"/>
      <c r="Z975" s="128"/>
    </row>
    <row r="976" spans="1:26" ht="14.4" x14ac:dyDescent="0.3">
      <c r="A976" s="128"/>
      <c r="B976" s="128"/>
      <c r="C976" s="128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8"/>
      <c r="S976" s="128"/>
      <c r="T976" s="128"/>
      <c r="U976" s="128"/>
      <c r="V976" s="128"/>
      <c r="W976" s="128"/>
      <c r="X976" s="128"/>
      <c r="Y976" s="128"/>
      <c r="Z976" s="128"/>
    </row>
    <row r="977" spans="1:26" ht="14.4" x14ac:dyDescent="0.3">
      <c r="A977" s="128"/>
      <c r="B977" s="128"/>
      <c r="C977" s="128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8"/>
      <c r="S977" s="128"/>
      <c r="T977" s="128"/>
      <c r="U977" s="128"/>
      <c r="V977" s="128"/>
      <c r="W977" s="128"/>
      <c r="X977" s="128"/>
      <c r="Y977" s="128"/>
      <c r="Z977" s="128"/>
    </row>
    <row r="978" spans="1:26" ht="14.4" x14ac:dyDescent="0.3">
      <c r="A978" s="128"/>
      <c r="B978" s="128"/>
      <c r="C978" s="128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8"/>
      <c r="S978" s="128"/>
      <c r="T978" s="128"/>
      <c r="U978" s="128"/>
      <c r="V978" s="128"/>
      <c r="W978" s="128"/>
      <c r="X978" s="128"/>
      <c r="Y978" s="128"/>
      <c r="Z978" s="128"/>
    </row>
    <row r="979" spans="1:26" ht="14.4" x14ac:dyDescent="0.3">
      <c r="A979" s="128"/>
      <c r="B979" s="128"/>
      <c r="C979" s="128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8"/>
      <c r="S979" s="128"/>
      <c r="T979" s="128"/>
      <c r="U979" s="128"/>
      <c r="V979" s="128"/>
      <c r="W979" s="128"/>
      <c r="X979" s="128"/>
      <c r="Y979" s="128"/>
      <c r="Z979" s="128"/>
    </row>
    <row r="980" spans="1:26" ht="14.4" x14ac:dyDescent="0.3">
      <c r="A980" s="128"/>
      <c r="B980" s="128"/>
      <c r="C980" s="128"/>
      <c r="D980" s="128"/>
      <c r="E980" s="128"/>
      <c r="F980" s="128"/>
      <c r="G980" s="128"/>
      <c r="H980" s="128"/>
      <c r="I980" s="128"/>
      <c r="J980" s="128"/>
      <c r="K980" s="128"/>
      <c r="L980" s="128"/>
      <c r="M980" s="128"/>
      <c r="N980" s="128"/>
      <c r="O980" s="128"/>
      <c r="P980" s="128"/>
      <c r="Q980" s="128"/>
      <c r="R980" s="128"/>
      <c r="S980" s="128"/>
      <c r="T980" s="128"/>
      <c r="U980" s="128"/>
      <c r="V980" s="128"/>
      <c r="W980" s="128"/>
      <c r="X980" s="128"/>
      <c r="Y980" s="128"/>
      <c r="Z980" s="128"/>
    </row>
    <row r="981" spans="1:26" ht="14.4" x14ac:dyDescent="0.3">
      <c r="A981" s="128"/>
      <c r="B981" s="128"/>
      <c r="C981" s="128"/>
      <c r="D981" s="128"/>
      <c r="E981" s="128"/>
      <c r="F981" s="128"/>
      <c r="G981" s="128"/>
      <c r="H981" s="12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8"/>
      <c r="S981" s="128"/>
      <c r="T981" s="128"/>
      <c r="U981" s="128"/>
      <c r="V981" s="128"/>
      <c r="W981" s="128"/>
      <c r="X981" s="128"/>
      <c r="Y981" s="128"/>
      <c r="Z981" s="128"/>
    </row>
    <row r="982" spans="1:26" ht="14.4" x14ac:dyDescent="0.3">
      <c r="A982" s="128"/>
      <c r="B982" s="128"/>
      <c r="C982" s="128"/>
      <c r="D982" s="128"/>
      <c r="E982" s="128"/>
      <c r="F982" s="128"/>
      <c r="G982" s="128"/>
      <c r="H982" s="128"/>
      <c r="I982" s="128"/>
      <c r="J982" s="128"/>
      <c r="K982" s="128"/>
      <c r="L982" s="128"/>
      <c r="M982" s="128"/>
      <c r="N982" s="128"/>
      <c r="O982" s="128"/>
      <c r="P982" s="128"/>
      <c r="Q982" s="128"/>
      <c r="R982" s="128"/>
      <c r="S982" s="128"/>
      <c r="T982" s="128"/>
      <c r="U982" s="128"/>
      <c r="V982" s="128"/>
      <c r="W982" s="128"/>
      <c r="X982" s="128"/>
      <c r="Y982" s="128"/>
      <c r="Z982" s="128"/>
    </row>
    <row r="983" spans="1:26" ht="14.4" x14ac:dyDescent="0.3">
      <c r="A983" s="128"/>
      <c r="B983" s="128"/>
      <c r="C983" s="128"/>
      <c r="D983" s="128"/>
      <c r="E983" s="128"/>
      <c r="F983" s="128"/>
      <c r="G983" s="128"/>
      <c r="H983" s="128"/>
      <c r="I983" s="128"/>
      <c r="J983" s="128"/>
      <c r="K983" s="128"/>
      <c r="L983" s="128"/>
      <c r="M983" s="128"/>
      <c r="N983" s="128"/>
      <c r="O983" s="128"/>
      <c r="P983" s="128"/>
      <c r="Q983" s="128"/>
      <c r="R983" s="128"/>
      <c r="S983" s="128"/>
      <c r="T983" s="128"/>
      <c r="U983" s="128"/>
      <c r="V983" s="128"/>
      <c r="W983" s="128"/>
      <c r="X983" s="128"/>
      <c r="Y983" s="128"/>
      <c r="Z983" s="128"/>
    </row>
    <row r="984" spans="1:26" ht="14.4" x14ac:dyDescent="0.3">
      <c r="A984" s="128"/>
      <c r="B984" s="128"/>
      <c r="C984" s="128"/>
      <c r="D984" s="128"/>
      <c r="E984" s="128"/>
      <c r="F984" s="128"/>
      <c r="G984" s="128"/>
      <c r="H984" s="128"/>
      <c r="I984" s="128"/>
      <c r="J984" s="128"/>
      <c r="K984" s="128"/>
      <c r="L984" s="128"/>
      <c r="M984" s="128"/>
      <c r="N984" s="128"/>
      <c r="O984" s="128"/>
      <c r="P984" s="128"/>
      <c r="Q984" s="128"/>
      <c r="R984" s="128"/>
      <c r="S984" s="128"/>
      <c r="T984" s="128"/>
      <c r="U984" s="128"/>
      <c r="V984" s="128"/>
      <c r="W984" s="128"/>
      <c r="X984" s="128"/>
      <c r="Y984" s="128"/>
      <c r="Z984" s="128"/>
    </row>
    <row r="985" spans="1:26" ht="14.4" x14ac:dyDescent="0.3">
      <c r="A985" s="128"/>
      <c r="B985" s="128"/>
      <c r="C985" s="128"/>
      <c r="D985" s="128"/>
      <c r="E985" s="128"/>
      <c r="F985" s="128"/>
      <c r="G985" s="128"/>
      <c r="H985" s="128"/>
      <c r="I985" s="128"/>
      <c r="J985" s="128"/>
      <c r="K985" s="128"/>
      <c r="L985" s="128"/>
      <c r="M985" s="128"/>
      <c r="N985" s="128"/>
      <c r="O985" s="128"/>
      <c r="P985" s="128"/>
      <c r="Q985" s="128"/>
      <c r="R985" s="128"/>
      <c r="S985" s="128"/>
      <c r="T985" s="128"/>
      <c r="U985" s="128"/>
      <c r="V985" s="128"/>
      <c r="W985" s="128"/>
      <c r="X985" s="128"/>
      <c r="Y985" s="128"/>
      <c r="Z985" s="128"/>
    </row>
    <row r="986" spans="1:26" ht="14.4" x14ac:dyDescent="0.3">
      <c r="A986" s="128"/>
      <c r="B986" s="128"/>
      <c r="C986" s="128"/>
      <c r="D986" s="128"/>
      <c r="E986" s="128"/>
      <c r="F986" s="128"/>
      <c r="G986" s="128"/>
      <c r="H986" s="128"/>
      <c r="I986" s="128"/>
      <c r="J986" s="128"/>
      <c r="K986" s="128"/>
      <c r="L986" s="128"/>
      <c r="M986" s="128"/>
      <c r="N986" s="128"/>
      <c r="O986" s="128"/>
      <c r="P986" s="128"/>
      <c r="Q986" s="128"/>
      <c r="R986" s="128"/>
      <c r="S986" s="128"/>
      <c r="T986" s="128"/>
      <c r="U986" s="128"/>
      <c r="V986" s="128"/>
      <c r="W986" s="128"/>
      <c r="X986" s="128"/>
      <c r="Y986" s="128"/>
      <c r="Z986" s="128"/>
    </row>
    <row r="987" spans="1:26" ht="14.4" x14ac:dyDescent="0.3">
      <c r="A987" s="128"/>
      <c r="B987" s="128"/>
      <c r="C987" s="128"/>
      <c r="D987" s="128"/>
      <c r="E987" s="128"/>
      <c r="F987" s="128"/>
      <c r="G987" s="128"/>
      <c r="H987" s="128"/>
      <c r="I987" s="128"/>
      <c r="J987" s="128"/>
      <c r="K987" s="128"/>
      <c r="L987" s="128"/>
      <c r="M987" s="128"/>
      <c r="N987" s="128"/>
      <c r="O987" s="128"/>
      <c r="P987" s="128"/>
      <c r="Q987" s="128"/>
      <c r="R987" s="128"/>
      <c r="S987" s="128"/>
      <c r="T987" s="128"/>
      <c r="U987" s="128"/>
      <c r="V987" s="128"/>
      <c r="W987" s="128"/>
      <c r="X987" s="128"/>
      <c r="Y987" s="128"/>
      <c r="Z987" s="128"/>
    </row>
    <row r="988" spans="1:26" ht="14.4" x14ac:dyDescent="0.3">
      <c r="A988" s="128"/>
      <c r="B988" s="128"/>
      <c r="C988" s="128"/>
      <c r="D988" s="128"/>
      <c r="E988" s="128"/>
      <c r="F988" s="128"/>
      <c r="G988" s="128"/>
      <c r="H988" s="128"/>
      <c r="I988" s="128"/>
      <c r="J988" s="128"/>
      <c r="K988" s="128"/>
      <c r="L988" s="128"/>
      <c r="M988" s="128"/>
      <c r="N988" s="128"/>
      <c r="O988" s="128"/>
      <c r="P988" s="128"/>
      <c r="Q988" s="128"/>
      <c r="R988" s="128"/>
      <c r="S988" s="128"/>
      <c r="T988" s="128"/>
      <c r="U988" s="128"/>
      <c r="V988" s="128"/>
      <c r="W988" s="128"/>
      <c r="X988" s="128"/>
      <c r="Y988" s="128"/>
      <c r="Z988" s="128"/>
    </row>
    <row r="989" spans="1:26" ht="14.4" x14ac:dyDescent="0.3">
      <c r="A989" s="128"/>
      <c r="B989" s="128"/>
      <c r="C989" s="128"/>
      <c r="D989" s="128"/>
      <c r="E989" s="128"/>
      <c r="F989" s="128"/>
      <c r="G989" s="128"/>
      <c r="H989" s="128"/>
      <c r="I989" s="128"/>
      <c r="J989" s="128"/>
      <c r="K989" s="128"/>
      <c r="L989" s="128"/>
      <c r="M989" s="128"/>
      <c r="N989" s="128"/>
      <c r="O989" s="128"/>
      <c r="P989" s="128"/>
      <c r="Q989" s="128"/>
      <c r="R989" s="128"/>
      <c r="S989" s="128"/>
      <c r="T989" s="128"/>
      <c r="U989" s="128"/>
      <c r="V989" s="128"/>
      <c r="W989" s="128"/>
      <c r="X989" s="128"/>
      <c r="Y989" s="128"/>
      <c r="Z989" s="128"/>
    </row>
    <row r="990" spans="1:26" ht="14.4" x14ac:dyDescent="0.3">
      <c r="A990" s="128"/>
      <c r="B990" s="128"/>
      <c r="C990" s="128"/>
      <c r="D990" s="128"/>
      <c r="E990" s="128"/>
      <c r="F990" s="128"/>
      <c r="G990" s="128"/>
      <c r="H990" s="128"/>
      <c r="I990" s="128"/>
      <c r="J990" s="128"/>
      <c r="K990" s="128"/>
      <c r="L990" s="128"/>
      <c r="M990" s="128"/>
      <c r="N990" s="128"/>
      <c r="O990" s="128"/>
      <c r="P990" s="128"/>
      <c r="Q990" s="128"/>
      <c r="R990" s="128"/>
      <c r="S990" s="128"/>
      <c r="T990" s="128"/>
      <c r="U990" s="128"/>
      <c r="V990" s="128"/>
      <c r="W990" s="128"/>
      <c r="X990" s="128"/>
      <c r="Y990" s="128"/>
      <c r="Z990" s="128"/>
    </row>
    <row r="991" spans="1:26" ht="14.4" x14ac:dyDescent="0.3">
      <c r="A991" s="128"/>
      <c r="B991" s="128"/>
      <c r="C991" s="128"/>
      <c r="D991" s="128"/>
      <c r="E991" s="128"/>
      <c r="F991" s="128"/>
      <c r="G991" s="128"/>
      <c r="H991" s="128"/>
      <c r="I991" s="128"/>
      <c r="J991" s="128"/>
      <c r="K991" s="128"/>
      <c r="L991" s="128"/>
      <c r="M991" s="128"/>
      <c r="N991" s="128"/>
      <c r="O991" s="128"/>
      <c r="P991" s="128"/>
      <c r="Q991" s="128"/>
      <c r="R991" s="128"/>
      <c r="S991" s="128"/>
      <c r="T991" s="128"/>
      <c r="U991" s="128"/>
      <c r="V991" s="128"/>
      <c r="W991" s="128"/>
      <c r="X991" s="128"/>
      <c r="Y991" s="128"/>
      <c r="Z991" s="128"/>
    </row>
    <row r="992" spans="1:26" ht="14.4" x14ac:dyDescent="0.3">
      <c r="A992" s="128"/>
      <c r="B992" s="128"/>
      <c r="C992" s="128"/>
      <c r="D992" s="128"/>
      <c r="E992" s="128"/>
      <c r="F992" s="128"/>
      <c r="G992" s="128"/>
      <c r="H992" s="128"/>
      <c r="I992" s="128"/>
      <c r="J992" s="128"/>
      <c r="K992" s="128"/>
      <c r="L992" s="128"/>
      <c r="M992" s="128"/>
      <c r="N992" s="128"/>
      <c r="O992" s="128"/>
      <c r="P992" s="128"/>
      <c r="Q992" s="128"/>
      <c r="R992" s="128"/>
      <c r="S992" s="128"/>
      <c r="T992" s="128"/>
      <c r="U992" s="128"/>
      <c r="V992" s="128"/>
      <c r="W992" s="128"/>
      <c r="X992" s="128"/>
      <c r="Y992" s="128"/>
      <c r="Z992" s="128"/>
    </row>
    <row r="993" spans="1:26" ht="14.4" x14ac:dyDescent="0.3">
      <c r="A993" s="128"/>
      <c r="B993" s="128"/>
      <c r="C993" s="128"/>
      <c r="D993" s="128"/>
      <c r="E993" s="128"/>
      <c r="F993" s="128"/>
      <c r="G993" s="128"/>
      <c r="H993" s="128"/>
      <c r="I993" s="128"/>
      <c r="J993" s="128"/>
      <c r="K993" s="128"/>
      <c r="L993" s="128"/>
      <c r="M993" s="128"/>
      <c r="N993" s="128"/>
      <c r="O993" s="128"/>
      <c r="P993" s="128"/>
      <c r="Q993" s="128"/>
      <c r="R993" s="128"/>
      <c r="S993" s="128"/>
      <c r="T993" s="128"/>
      <c r="U993" s="128"/>
      <c r="V993" s="128"/>
      <c r="W993" s="128"/>
      <c r="X993" s="128"/>
      <c r="Y993" s="128"/>
      <c r="Z993" s="128"/>
    </row>
    <row r="994" spans="1:26" ht="14.4" x14ac:dyDescent="0.3">
      <c r="A994" s="128"/>
      <c r="B994" s="128"/>
      <c r="C994" s="128"/>
      <c r="D994" s="128"/>
      <c r="E994" s="128"/>
      <c r="F994" s="128"/>
      <c r="G994" s="128"/>
      <c r="H994" s="128"/>
      <c r="I994" s="128"/>
      <c r="J994" s="128"/>
      <c r="K994" s="128"/>
      <c r="L994" s="128"/>
      <c r="M994" s="128"/>
      <c r="N994" s="128"/>
      <c r="O994" s="128"/>
      <c r="P994" s="128"/>
      <c r="Q994" s="128"/>
      <c r="R994" s="128"/>
      <c r="S994" s="128"/>
      <c r="T994" s="128"/>
      <c r="U994" s="128"/>
      <c r="V994" s="128"/>
      <c r="W994" s="128"/>
      <c r="X994" s="128"/>
      <c r="Y994" s="128"/>
      <c r="Z994" s="128"/>
    </row>
    <row r="995" spans="1:26" ht="14.4" x14ac:dyDescent="0.3">
      <c r="A995" s="128"/>
      <c r="B995" s="128"/>
      <c r="C995" s="128"/>
      <c r="D995" s="128"/>
      <c r="E995" s="128"/>
      <c r="F995" s="128"/>
      <c r="G995" s="128"/>
      <c r="H995" s="128"/>
      <c r="I995" s="128"/>
      <c r="J995" s="128"/>
      <c r="K995" s="128"/>
      <c r="L995" s="128"/>
      <c r="M995" s="128"/>
      <c r="N995" s="128"/>
      <c r="O995" s="128"/>
      <c r="P995" s="128"/>
      <c r="Q995" s="128"/>
      <c r="R995" s="128"/>
      <c r="S995" s="128"/>
      <c r="T995" s="128"/>
      <c r="U995" s="128"/>
      <c r="V995" s="128"/>
      <c r="W995" s="128"/>
      <c r="X995" s="128"/>
      <c r="Y995" s="128"/>
      <c r="Z995" s="128"/>
    </row>
    <row r="996" spans="1:26" ht="14.4" x14ac:dyDescent="0.3">
      <c r="A996" s="128"/>
      <c r="B996" s="128"/>
      <c r="C996" s="128"/>
      <c r="D996" s="128"/>
      <c r="E996" s="128"/>
      <c r="F996" s="128"/>
      <c r="G996" s="128"/>
      <c r="H996" s="128"/>
      <c r="I996" s="128"/>
      <c r="J996" s="128"/>
      <c r="K996" s="128"/>
      <c r="L996" s="128"/>
      <c r="M996" s="128"/>
      <c r="N996" s="128"/>
      <c r="O996" s="128"/>
      <c r="P996" s="128"/>
      <c r="Q996" s="128"/>
      <c r="R996" s="128"/>
      <c r="S996" s="128"/>
      <c r="T996" s="128"/>
      <c r="U996" s="128"/>
      <c r="V996" s="128"/>
      <c r="W996" s="128"/>
      <c r="X996" s="128"/>
      <c r="Y996" s="128"/>
      <c r="Z996" s="128"/>
    </row>
  </sheetData>
  <mergeCells count="42">
    <mergeCell ref="K136:O137"/>
    <mergeCell ref="K138:O142"/>
    <mergeCell ref="B145:J145"/>
    <mergeCell ref="B155:J155"/>
    <mergeCell ref="B165:J165"/>
    <mergeCell ref="B83:J83"/>
    <mergeCell ref="K84:O84"/>
    <mergeCell ref="K85:O89"/>
    <mergeCell ref="K134:O134"/>
    <mergeCell ref="K135:O135"/>
    <mergeCell ref="B93:J93"/>
    <mergeCell ref="K94:O94"/>
    <mergeCell ref="K95:O115"/>
    <mergeCell ref="B118:J118"/>
    <mergeCell ref="K119:O119"/>
    <mergeCell ref="K120:O130"/>
    <mergeCell ref="B133:J133"/>
    <mergeCell ref="K46:O58"/>
    <mergeCell ref="B61:J61"/>
    <mergeCell ref="K62:O62"/>
    <mergeCell ref="K63:O71"/>
    <mergeCell ref="B75:J75"/>
    <mergeCell ref="G38:N38"/>
    <mergeCell ref="G39:N39"/>
    <mergeCell ref="B43:J43"/>
    <mergeCell ref="K44:O44"/>
    <mergeCell ref="K45:O45"/>
    <mergeCell ref="G32:N32"/>
    <mergeCell ref="G33:N33"/>
    <mergeCell ref="G34:N34"/>
    <mergeCell ref="G35:N35"/>
    <mergeCell ref="G37:N37"/>
    <mergeCell ref="L13:O19"/>
    <mergeCell ref="B22:J22"/>
    <mergeCell ref="L23:O23"/>
    <mergeCell ref="L24:O28"/>
    <mergeCell ref="B31:J31"/>
    <mergeCell ref="G1:J1"/>
    <mergeCell ref="L3:O3"/>
    <mergeCell ref="L4:O8"/>
    <mergeCell ref="B11:J11"/>
    <mergeCell ref="L12:O1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C994"/>
  <sheetViews>
    <sheetView workbookViewId="0"/>
  </sheetViews>
  <sheetFormatPr defaultColWidth="12.6640625" defaultRowHeight="15.75" customHeight="1" outlineLevelRow="1" x14ac:dyDescent="0.25"/>
  <cols>
    <col min="1" max="1" width="2.6640625" customWidth="1"/>
    <col min="2" max="2" width="45.109375" customWidth="1"/>
    <col min="3" max="3" width="5.33203125" customWidth="1"/>
    <col min="4" max="4" width="5.109375" customWidth="1"/>
    <col min="5" max="11" width="5" customWidth="1"/>
    <col min="12" max="12" width="4.6640625" customWidth="1"/>
    <col min="13" max="13" width="4.21875" customWidth="1"/>
    <col min="14" max="14" width="6.44140625" customWidth="1"/>
    <col min="15" max="15" width="5.21875" customWidth="1"/>
    <col min="16" max="16" width="9" customWidth="1"/>
    <col min="17" max="17" width="6.109375" customWidth="1"/>
    <col min="18" max="18" width="9" customWidth="1"/>
    <col min="19" max="27" width="4" customWidth="1"/>
  </cols>
  <sheetData>
    <row r="1" spans="1:29" ht="14.4" x14ac:dyDescent="0.3">
      <c r="A1" s="193"/>
      <c r="B1" s="102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94"/>
      <c r="N1" s="128"/>
      <c r="O1" s="101"/>
      <c r="P1" s="195"/>
      <c r="Q1" s="101"/>
      <c r="R1" s="195"/>
      <c r="S1" s="195"/>
      <c r="T1" s="195"/>
      <c r="U1" s="195"/>
      <c r="V1" s="195"/>
      <c r="W1" s="195"/>
      <c r="X1" s="195"/>
      <c r="Y1" s="195"/>
      <c r="Z1" s="195"/>
      <c r="AA1" s="193"/>
      <c r="AB1" s="101"/>
      <c r="AC1" s="128"/>
    </row>
    <row r="2" spans="1:29" ht="14.4" x14ac:dyDescent="0.3">
      <c r="A2" s="193"/>
      <c r="B2" s="289" t="s">
        <v>624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262"/>
      <c r="W2" s="262"/>
      <c r="X2" s="262"/>
      <c r="Y2" s="262"/>
      <c r="Z2" s="261"/>
      <c r="AA2" s="196"/>
      <c r="AB2" s="101"/>
      <c r="AC2" s="128"/>
    </row>
    <row r="3" spans="1:29" ht="14.4" x14ac:dyDescent="0.3">
      <c r="A3" s="193"/>
      <c r="B3" s="290" t="s">
        <v>625</v>
      </c>
      <c r="C3" s="290" t="s">
        <v>626</v>
      </c>
      <c r="D3" s="290" t="s">
        <v>627</v>
      </c>
      <c r="E3" s="288" t="s">
        <v>628</v>
      </c>
      <c r="F3" s="257"/>
      <c r="G3" s="257"/>
      <c r="H3" s="257"/>
      <c r="I3" s="257"/>
      <c r="J3" s="257"/>
      <c r="K3" s="257"/>
      <c r="L3" s="258"/>
      <c r="M3" s="291" t="s">
        <v>629</v>
      </c>
      <c r="N3" s="274"/>
      <c r="O3" s="287" t="s">
        <v>630</v>
      </c>
      <c r="P3" s="285" t="s">
        <v>631</v>
      </c>
      <c r="Q3" s="287" t="s">
        <v>632</v>
      </c>
      <c r="R3" s="285" t="s">
        <v>633</v>
      </c>
      <c r="S3" s="288" t="s">
        <v>634</v>
      </c>
      <c r="T3" s="257"/>
      <c r="U3" s="257"/>
      <c r="V3" s="257"/>
      <c r="W3" s="257"/>
      <c r="X3" s="257"/>
      <c r="Y3" s="257"/>
      <c r="Z3" s="258"/>
      <c r="AA3" s="196"/>
      <c r="AB3" s="101"/>
      <c r="AC3" s="128"/>
    </row>
    <row r="4" spans="1:29" ht="23.25" customHeight="1" x14ac:dyDescent="0.3">
      <c r="A4" s="193"/>
      <c r="B4" s="286"/>
      <c r="C4" s="286"/>
      <c r="D4" s="286"/>
      <c r="E4" s="37" t="s">
        <v>635</v>
      </c>
      <c r="F4" s="37" t="s">
        <v>636</v>
      </c>
      <c r="G4" s="37" t="s">
        <v>637</v>
      </c>
      <c r="H4" s="37" t="s">
        <v>638</v>
      </c>
      <c r="I4" s="37" t="s">
        <v>639</v>
      </c>
      <c r="J4" s="37" t="s">
        <v>640</v>
      </c>
      <c r="K4" s="37" t="s">
        <v>641</v>
      </c>
      <c r="L4" s="37" t="s">
        <v>642</v>
      </c>
      <c r="M4" s="292"/>
      <c r="N4" s="258"/>
      <c r="O4" s="286"/>
      <c r="P4" s="286"/>
      <c r="Q4" s="286"/>
      <c r="R4" s="286"/>
      <c r="S4" s="197" t="s">
        <v>635</v>
      </c>
      <c r="T4" s="197" t="s">
        <v>636</v>
      </c>
      <c r="U4" s="197" t="s">
        <v>637</v>
      </c>
      <c r="V4" s="197" t="s">
        <v>638</v>
      </c>
      <c r="W4" s="197" t="s">
        <v>639</v>
      </c>
      <c r="X4" s="197" t="s">
        <v>640</v>
      </c>
      <c r="Y4" s="197" t="s">
        <v>641</v>
      </c>
      <c r="Z4" s="197" t="s">
        <v>642</v>
      </c>
      <c r="AA4" s="196"/>
      <c r="AB4" s="101"/>
      <c r="AC4" s="128"/>
    </row>
    <row r="5" spans="1:29" ht="14.4" x14ac:dyDescent="0.3">
      <c r="A5" s="193"/>
      <c r="B5" s="198" t="str">
        <f>'1. BRIEFING'!B14</f>
        <v>DEMOLIÇÃO E RETIRADA</v>
      </c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200"/>
      <c r="T5" s="200"/>
      <c r="U5" s="200"/>
      <c r="V5" s="200"/>
      <c r="W5" s="200"/>
      <c r="X5" s="200"/>
      <c r="Y5" s="200"/>
      <c r="Z5" s="200"/>
      <c r="AA5" s="196"/>
      <c r="AB5" s="101"/>
      <c r="AC5" s="128"/>
    </row>
    <row r="6" spans="1:29" ht="14.4" outlineLevel="1" x14ac:dyDescent="0.3">
      <c r="A6" s="193"/>
      <c r="B6" s="201" t="str">
        <f>'1. BRIEFING'!B15</f>
        <v>DEMOLIÇÃO DE ALVENARIA DE VEDAÇÃO</v>
      </c>
      <c r="C6" s="202" t="str">
        <f>'1. BRIEFING'!C15</f>
        <v>M²</v>
      </c>
      <c r="D6" s="202">
        <v>100</v>
      </c>
      <c r="E6" s="37"/>
      <c r="F6" s="37"/>
      <c r="G6" s="37"/>
      <c r="H6" s="37"/>
      <c r="I6" s="37"/>
      <c r="J6" s="37"/>
      <c r="K6" s="37"/>
      <c r="L6" s="37">
        <v>4</v>
      </c>
      <c r="M6" s="203">
        <f>2.33/L6</f>
        <v>0.58250000000000002</v>
      </c>
      <c r="N6" s="37" t="s">
        <v>643</v>
      </c>
      <c r="O6" s="37">
        <v>8</v>
      </c>
      <c r="P6" s="204">
        <f t="shared" ref="P6:P14" si="0">ROUNDUP(AA6,0)</f>
        <v>8</v>
      </c>
      <c r="Q6" s="37">
        <v>0</v>
      </c>
      <c r="R6" s="204" t="e">
        <f t="shared" ref="R6:R14" si="1">P6/Q6</f>
        <v>#DIV/0!</v>
      </c>
      <c r="S6" s="204" t="e">
        <f t="shared" ref="S6:Z6" si="2">E6*$R6</f>
        <v>#DIV/0!</v>
      </c>
      <c r="T6" s="204" t="e">
        <f t="shared" si="2"/>
        <v>#DIV/0!</v>
      </c>
      <c r="U6" s="204" t="e">
        <f t="shared" si="2"/>
        <v>#DIV/0!</v>
      </c>
      <c r="V6" s="205" t="e">
        <f t="shared" si="2"/>
        <v>#DIV/0!</v>
      </c>
      <c r="W6" s="204" t="e">
        <f t="shared" si="2"/>
        <v>#DIV/0!</v>
      </c>
      <c r="X6" s="204" t="e">
        <f t="shared" si="2"/>
        <v>#DIV/0!</v>
      </c>
      <c r="Y6" s="204" t="e">
        <f t="shared" si="2"/>
        <v>#DIV/0!</v>
      </c>
      <c r="Z6" s="204" t="e">
        <f t="shared" si="2"/>
        <v>#DIV/0!</v>
      </c>
      <c r="AA6" s="196">
        <f t="shared" ref="AA6:AA107" si="3">D6/(O6/M6)</f>
        <v>7.28125</v>
      </c>
      <c r="AB6" s="101"/>
      <c r="AC6" s="128"/>
    </row>
    <row r="7" spans="1:29" ht="14.4" outlineLevel="1" x14ac:dyDescent="0.3">
      <c r="A7" s="193"/>
      <c r="B7" s="201" t="str">
        <f>'1. BRIEFING'!B16</f>
        <v>REMOÇÃO DE BANCADAS EM GRANITO</v>
      </c>
      <c r="C7" s="202" t="str">
        <f>'1. BRIEFING'!C16</f>
        <v>UND</v>
      </c>
      <c r="D7" s="206" t="str">
        <f>'1. BRIEFING'!D16</f>
        <v>1,00</v>
      </c>
      <c r="E7" s="37"/>
      <c r="F7" s="37"/>
      <c r="G7" s="37"/>
      <c r="H7" s="37"/>
      <c r="I7" s="37"/>
      <c r="J7" s="37"/>
      <c r="K7" s="37"/>
      <c r="L7" s="37">
        <v>1</v>
      </c>
      <c r="M7" s="203">
        <v>0.5</v>
      </c>
      <c r="N7" s="37" t="s">
        <v>644</v>
      </c>
      <c r="O7" s="37">
        <v>8</v>
      </c>
      <c r="P7" s="204">
        <f t="shared" si="0"/>
        <v>1</v>
      </c>
      <c r="Q7" s="37"/>
      <c r="R7" s="204" t="e">
        <f t="shared" si="1"/>
        <v>#DIV/0!</v>
      </c>
      <c r="S7" s="204" t="e">
        <f t="shared" ref="S7:Z7" si="4">E7*$R7</f>
        <v>#DIV/0!</v>
      </c>
      <c r="T7" s="204" t="e">
        <f t="shared" si="4"/>
        <v>#DIV/0!</v>
      </c>
      <c r="U7" s="204" t="e">
        <f t="shared" si="4"/>
        <v>#DIV/0!</v>
      </c>
      <c r="V7" s="205" t="e">
        <f t="shared" si="4"/>
        <v>#DIV/0!</v>
      </c>
      <c r="W7" s="204" t="e">
        <f t="shared" si="4"/>
        <v>#DIV/0!</v>
      </c>
      <c r="X7" s="204" t="e">
        <f t="shared" si="4"/>
        <v>#DIV/0!</v>
      </c>
      <c r="Y7" s="204" t="e">
        <f t="shared" si="4"/>
        <v>#DIV/0!</v>
      </c>
      <c r="Z7" s="204" t="e">
        <f t="shared" si="4"/>
        <v>#DIV/0!</v>
      </c>
      <c r="AA7" s="196">
        <f t="shared" si="3"/>
        <v>6.25E-2</v>
      </c>
      <c r="AB7" s="101"/>
      <c r="AC7" s="128"/>
    </row>
    <row r="8" spans="1:29" ht="14.4" outlineLevel="1" x14ac:dyDescent="0.3">
      <c r="A8" s="193"/>
      <c r="B8" s="201" t="str">
        <f>'1. BRIEFING'!B17</f>
        <v>REMOÇÃO DE LOUÇAS E METAIS</v>
      </c>
      <c r="C8" s="202" t="str">
        <f>'1. BRIEFING'!C17</f>
        <v>VB</v>
      </c>
      <c r="D8" s="206" t="str">
        <f>'1. BRIEFING'!D17</f>
        <v>1,00</v>
      </c>
      <c r="E8" s="37"/>
      <c r="F8" s="37"/>
      <c r="G8" s="37"/>
      <c r="H8" s="37"/>
      <c r="I8" s="37"/>
      <c r="J8" s="37"/>
      <c r="K8" s="37"/>
      <c r="L8" s="37">
        <v>1</v>
      </c>
      <c r="M8" s="203">
        <v>0.2</v>
      </c>
      <c r="N8" s="37" t="s">
        <v>644</v>
      </c>
      <c r="O8" s="37">
        <v>8</v>
      </c>
      <c r="P8" s="204">
        <f t="shared" si="0"/>
        <v>1</v>
      </c>
      <c r="Q8" s="37"/>
      <c r="R8" s="204" t="e">
        <f t="shared" si="1"/>
        <v>#DIV/0!</v>
      </c>
      <c r="S8" s="204" t="e">
        <f t="shared" ref="S8:Z8" si="5">E8*$R8</f>
        <v>#DIV/0!</v>
      </c>
      <c r="T8" s="204" t="e">
        <f t="shared" si="5"/>
        <v>#DIV/0!</v>
      </c>
      <c r="U8" s="204" t="e">
        <f t="shared" si="5"/>
        <v>#DIV/0!</v>
      </c>
      <c r="V8" s="205" t="e">
        <f t="shared" si="5"/>
        <v>#DIV/0!</v>
      </c>
      <c r="W8" s="204" t="e">
        <f t="shared" si="5"/>
        <v>#DIV/0!</v>
      </c>
      <c r="X8" s="204" t="e">
        <f t="shared" si="5"/>
        <v>#DIV/0!</v>
      </c>
      <c r="Y8" s="204" t="e">
        <f t="shared" si="5"/>
        <v>#DIV/0!</v>
      </c>
      <c r="Z8" s="204" t="e">
        <f t="shared" si="5"/>
        <v>#DIV/0!</v>
      </c>
      <c r="AA8" s="196">
        <f t="shared" si="3"/>
        <v>2.5000000000000001E-2</v>
      </c>
      <c r="AB8" s="101"/>
      <c r="AC8" s="128"/>
    </row>
    <row r="9" spans="1:29" ht="14.4" outlineLevel="1" x14ac:dyDescent="0.3">
      <c r="A9" s="193"/>
      <c r="B9" s="201" t="str">
        <f>'1. BRIEFING'!B18</f>
        <v>REMOÇÃO DE PORTAS INTERNAS EM MADEIRA</v>
      </c>
      <c r="C9" s="202" t="str">
        <f>'1. BRIEFING'!C18</f>
        <v>UN</v>
      </c>
      <c r="D9" s="206" t="str">
        <f>'1. BRIEFING'!D18</f>
        <v>1,00</v>
      </c>
      <c r="E9" s="37"/>
      <c r="F9" s="37"/>
      <c r="G9" s="37"/>
      <c r="H9" s="37"/>
      <c r="I9" s="37"/>
      <c r="J9" s="37"/>
      <c r="K9" s="37"/>
      <c r="L9" s="37">
        <v>1</v>
      </c>
      <c r="M9" s="203">
        <v>0.2</v>
      </c>
      <c r="N9" s="37" t="s">
        <v>644</v>
      </c>
      <c r="O9" s="37">
        <v>8</v>
      </c>
      <c r="P9" s="204">
        <f t="shared" si="0"/>
        <v>1</v>
      </c>
      <c r="Q9" s="37"/>
      <c r="R9" s="204" t="e">
        <f t="shared" si="1"/>
        <v>#DIV/0!</v>
      </c>
      <c r="S9" s="204" t="e">
        <f t="shared" ref="S9:Z9" si="6">E9*$R9</f>
        <v>#DIV/0!</v>
      </c>
      <c r="T9" s="204" t="e">
        <f t="shared" si="6"/>
        <v>#DIV/0!</v>
      </c>
      <c r="U9" s="204" t="e">
        <f t="shared" si="6"/>
        <v>#DIV/0!</v>
      </c>
      <c r="V9" s="205" t="e">
        <f t="shared" si="6"/>
        <v>#DIV/0!</v>
      </c>
      <c r="W9" s="204" t="e">
        <f t="shared" si="6"/>
        <v>#DIV/0!</v>
      </c>
      <c r="X9" s="204" t="e">
        <f t="shared" si="6"/>
        <v>#DIV/0!</v>
      </c>
      <c r="Y9" s="204" t="e">
        <f t="shared" si="6"/>
        <v>#DIV/0!</v>
      </c>
      <c r="Z9" s="204" t="e">
        <f t="shared" si="6"/>
        <v>#DIV/0!</v>
      </c>
      <c r="AA9" s="196">
        <f t="shared" si="3"/>
        <v>2.5000000000000001E-2</v>
      </c>
      <c r="AB9" s="101"/>
      <c r="AC9" s="128"/>
    </row>
    <row r="10" spans="1:29" ht="14.4" outlineLevel="1" x14ac:dyDescent="0.3">
      <c r="A10" s="193"/>
      <c r="B10" s="201" t="str">
        <f>'1. BRIEFING'!B19</f>
        <v>DEMOLIÇÃO DE REVESTIMENTO CERÂMICO EM PAREDE</v>
      </c>
      <c r="C10" s="202" t="str">
        <f>'1. BRIEFING'!C19</f>
        <v>M²</v>
      </c>
      <c r="D10" s="206" t="str">
        <f>'1. BRIEFING'!D19</f>
        <v>1,00</v>
      </c>
      <c r="E10" s="37"/>
      <c r="F10" s="37"/>
      <c r="G10" s="37"/>
      <c r="H10" s="37"/>
      <c r="I10" s="37"/>
      <c r="J10" s="37"/>
      <c r="K10" s="37"/>
      <c r="L10" s="37">
        <v>1</v>
      </c>
      <c r="M10" s="203">
        <v>0.72</v>
      </c>
      <c r="N10" s="37" t="s">
        <v>645</v>
      </c>
      <c r="O10" s="37">
        <v>8</v>
      </c>
      <c r="P10" s="204">
        <f t="shared" si="0"/>
        <v>1</v>
      </c>
      <c r="Q10" s="37"/>
      <c r="R10" s="204" t="e">
        <f t="shared" si="1"/>
        <v>#DIV/0!</v>
      </c>
      <c r="S10" s="204" t="e">
        <f t="shared" ref="S10:Z10" si="7">E10*$R10</f>
        <v>#DIV/0!</v>
      </c>
      <c r="T10" s="204" t="e">
        <f t="shared" si="7"/>
        <v>#DIV/0!</v>
      </c>
      <c r="U10" s="204" t="e">
        <f t="shared" si="7"/>
        <v>#DIV/0!</v>
      </c>
      <c r="V10" s="205" t="e">
        <f t="shared" si="7"/>
        <v>#DIV/0!</v>
      </c>
      <c r="W10" s="204" t="e">
        <f t="shared" si="7"/>
        <v>#DIV/0!</v>
      </c>
      <c r="X10" s="204" t="e">
        <f t="shared" si="7"/>
        <v>#DIV/0!</v>
      </c>
      <c r="Y10" s="204" t="e">
        <f t="shared" si="7"/>
        <v>#DIV/0!</v>
      </c>
      <c r="Z10" s="204" t="e">
        <f t="shared" si="7"/>
        <v>#DIV/0!</v>
      </c>
      <c r="AA10" s="196">
        <f t="shared" si="3"/>
        <v>0.09</v>
      </c>
      <c r="AB10" s="101"/>
      <c r="AC10" s="128"/>
    </row>
    <row r="11" spans="1:29" ht="14.4" outlineLevel="1" x14ac:dyDescent="0.3">
      <c r="A11" s="193"/>
      <c r="B11" s="201" t="str">
        <f>'1. BRIEFING'!B20</f>
        <v>DEMOLIÇÃO DE REVESTIMENTO CERÂMICO EM PISO</v>
      </c>
      <c r="C11" s="202" t="str">
        <f>'1. BRIEFING'!C20</f>
        <v>M²</v>
      </c>
      <c r="D11" s="206" t="str">
        <f>'1. BRIEFING'!D20</f>
        <v>1,00</v>
      </c>
      <c r="E11" s="37"/>
      <c r="F11" s="37"/>
      <c r="G11" s="37"/>
      <c r="H11" s="37"/>
      <c r="I11" s="37"/>
      <c r="J11" s="37"/>
      <c r="K11" s="37"/>
      <c r="L11" s="37">
        <v>1</v>
      </c>
      <c r="M11" s="203">
        <v>0.72</v>
      </c>
      <c r="N11" s="37" t="s">
        <v>645</v>
      </c>
      <c r="O11" s="37">
        <v>8</v>
      </c>
      <c r="P11" s="204">
        <f t="shared" si="0"/>
        <v>1</v>
      </c>
      <c r="Q11" s="37"/>
      <c r="R11" s="204" t="e">
        <f t="shared" si="1"/>
        <v>#DIV/0!</v>
      </c>
      <c r="S11" s="204" t="e">
        <f t="shared" ref="S11:Z11" si="8">E11*$R11</f>
        <v>#DIV/0!</v>
      </c>
      <c r="T11" s="204" t="e">
        <f t="shared" si="8"/>
        <v>#DIV/0!</v>
      </c>
      <c r="U11" s="204" t="e">
        <f t="shared" si="8"/>
        <v>#DIV/0!</v>
      </c>
      <c r="V11" s="205" t="e">
        <f t="shared" si="8"/>
        <v>#DIV/0!</v>
      </c>
      <c r="W11" s="204" t="e">
        <f t="shared" si="8"/>
        <v>#DIV/0!</v>
      </c>
      <c r="X11" s="204" t="e">
        <f t="shared" si="8"/>
        <v>#DIV/0!</v>
      </c>
      <c r="Y11" s="204" t="e">
        <f t="shared" si="8"/>
        <v>#DIV/0!</v>
      </c>
      <c r="Z11" s="204" t="e">
        <f t="shared" si="8"/>
        <v>#DIV/0!</v>
      </c>
      <c r="AA11" s="196">
        <f t="shared" si="3"/>
        <v>0.09</v>
      </c>
      <c r="AB11" s="101"/>
      <c r="AC11" s="128"/>
    </row>
    <row r="12" spans="1:29" ht="14.4" outlineLevel="1" x14ac:dyDescent="0.3">
      <c r="A12" s="193"/>
      <c r="B12" s="201" t="str">
        <f>'1. BRIEFING'!B21</f>
        <v>DEMOLIÇÃO DE FORRO EM GESSO/PVC</v>
      </c>
      <c r="C12" s="202" t="str">
        <f>'1. BRIEFING'!C21</f>
        <v>M²</v>
      </c>
      <c r="D12" s="206" t="str">
        <f>'1. BRIEFING'!D21</f>
        <v>1,00</v>
      </c>
      <c r="E12" s="37"/>
      <c r="F12" s="37"/>
      <c r="G12" s="37"/>
      <c r="H12" s="37"/>
      <c r="I12" s="37"/>
      <c r="J12" s="37"/>
      <c r="K12" s="37"/>
      <c r="L12" s="37">
        <v>1</v>
      </c>
      <c r="M12" s="203">
        <v>0.14000000000000001</v>
      </c>
      <c r="N12" s="37" t="s">
        <v>645</v>
      </c>
      <c r="O12" s="37">
        <v>8</v>
      </c>
      <c r="P12" s="204">
        <f t="shared" si="0"/>
        <v>1</v>
      </c>
      <c r="Q12" s="37"/>
      <c r="R12" s="204" t="e">
        <f t="shared" si="1"/>
        <v>#DIV/0!</v>
      </c>
      <c r="S12" s="204" t="e">
        <f t="shared" ref="S12:Z12" si="9">E12*$R12</f>
        <v>#DIV/0!</v>
      </c>
      <c r="T12" s="204" t="e">
        <f t="shared" si="9"/>
        <v>#DIV/0!</v>
      </c>
      <c r="U12" s="204" t="e">
        <f t="shared" si="9"/>
        <v>#DIV/0!</v>
      </c>
      <c r="V12" s="205" t="e">
        <f t="shared" si="9"/>
        <v>#DIV/0!</v>
      </c>
      <c r="W12" s="204" t="e">
        <f t="shared" si="9"/>
        <v>#DIV/0!</v>
      </c>
      <c r="X12" s="204" t="e">
        <f t="shared" si="9"/>
        <v>#DIV/0!</v>
      </c>
      <c r="Y12" s="204" t="e">
        <f t="shared" si="9"/>
        <v>#DIV/0!</v>
      </c>
      <c r="Z12" s="204" t="e">
        <f t="shared" si="9"/>
        <v>#DIV/0!</v>
      </c>
      <c r="AA12" s="196">
        <f t="shared" si="3"/>
        <v>1.7500000000000002E-2</v>
      </c>
      <c r="AB12" s="101"/>
      <c r="AC12" s="128"/>
    </row>
    <row r="13" spans="1:29" ht="14.4" outlineLevel="1" x14ac:dyDescent="0.3">
      <c r="A13" s="193"/>
      <c r="B13" s="201" t="str">
        <f>'1. BRIEFING'!B22</f>
        <v>REMOÇÃO DE LUMINÁRIAS INTERNAS (FORRO)</v>
      </c>
      <c r="C13" s="202" t="str">
        <f>'1. BRIEFING'!C22</f>
        <v>UN</v>
      </c>
      <c r="D13" s="206" t="str">
        <f>'1. BRIEFING'!D22</f>
        <v>1,00</v>
      </c>
      <c r="E13" s="37"/>
      <c r="F13" s="37"/>
      <c r="G13" s="37"/>
      <c r="H13" s="37"/>
      <c r="I13" s="37"/>
      <c r="J13" s="37"/>
      <c r="K13" s="37"/>
      <c r="L13" s="37">
        <v>1</v>
      </c>
      <c r="M13" s="203">
        <v>0.1</v>
      </c>
      <c r="N13" s="37" t="s">
        <v>644</v>
      </c>
      <c r="O13" s="37">
        <v>8</v>
      </c>
      <c r="P13" s="204">
        <f t="shared" si="0"/>
        <v>1</v>
      </c>
      <c r="Q13" s="37"/>
      <c r="R13" s="204" t="e">
        <f t="shared" si="1"/>
        <v>#DIV/0!</v>
      </c>
      <c r="S13" s="204" t="e">
        <f t="shared" ref="S13:Z13" si="10">E13*$R13</f>
        <v>#DIV/0!</v>
      </c>
      <c r="T13" s="204" t="e">
        <f t="shared" si="10"/>
        <v>#DIV/0!</v>
      </c>
      <c r="U13" s="204" t="e">
        <f t="shared" si="10"/>
        <v>#DIV/0!</v>
      </c>
      <c r="V13" s="205" t="e">
        <f t="shared" si="10"/>
        <v>#DIV/0!</v>
      </c>
      <c r="W13" s="204" t="e">
        <f t="shared" si="10"/>
        <v>#DIV/0!</v>
      </c>
      <c r="X13" s="204" t="e">
        <f t="shared" si="10"/>
        <v>#DIV/0!</v>
      </c>
      <c r="Y13" s="204" t="e">
        <f t="shared" si="10"/>
        <v>#DIV/0!</v>
      </c>
      <c r="Z13" s="204" t="e">
        <f t="shared" si="10"/>
        <v>#DIV/0!</v>
      </c>
      <c r="AA13" s="196">
        <f t="shared" si="3"/>
        <v>1.2500000000000001E-2</v>
      </c>
      <c r="AB13" s="101"/>
      <c r="AC13" s="128"/>
    </row>
    <row r="14" spans="1:29" ht="14.4" outlineLevel="1" x14ac:dyDescent="0.3">
      <c r="A14" s="193"/>
      <c r="B14" s="201" t="str">
        <f>'1. BRIEFING'!B23</f>
        <v>REMOÇÃO DOS ENTULHOS POR SACOS E CARRO PEQUENO</v>
      </c>
      <c r="C14" s="202" t="str">
        <f>'1. BRIEFING'!C23</f>
        <v>UN</v>
      </c>
      <c r="D14" s="206" t="str">
        <f>'1. BRIEFING'!D23</f>
        <v>1,00</v>
      </c>
      <c r="E14" s="37"/>
      <c r="F14" s="37"/>
      <c r="G14" s="37"/>
      <c r="H14" s="37"/>
      <c r="I14" s="37"/>
      <c r="J14" s="37"/>
      <c r="K14" s="37"/>
      <c r="L14" s="37">
        <v>1</v>
      </c>
      <c r="M14" s="203">
        <v>0.5</v>
      </c>
      <c r="N14" s="37" t="s">
        <v>643</v>
      </c>
      <c r="O14" s="37">
        <v>8</v>
      </c>
      <c r="P14" s="204">
        <f t="shared" si="0"/>
        <v>1</v>
      </c>
      <c r="Q14" s="37"/>
      <c r="R14" s="204" t="e">
        <f t="shared" si="1"/>
        <v>#DIV/0!</v>
      </c>
      <c r="S14" s="204" t="e">
        <f t="shared" ref="S14:Z14" si="11">E14*$R14</f>
        <v>#DIV/0!</v>
      </c>
      <c r="T14" s="204" t="e">
        <f t="shared" si="11"/>
        <v>#DIV/0!</v>
      </c>
      <c r="U14" s="204" t="e">
        <f t="shared" si="11"/>
        <v>#DIV/0!</v>
      </c>
      <c r="V14" s="205" t="e">
        <f t="shared" si="11"/>
        <v>#DIV/0!</v>
      </c>
      <c r="W14" s="204" t="e">
        <f t="shared" si="11"/>
        <v>#DIV/0!</v>
      </c>
      <c r="X14" s="204" t="e">
        <f t="shared" si="11"/>
        <v>#DIV/0!</v>
      </c>
      <c r="Y14" s="204" t="e">
        <f t="shared" si="11"/>
        <v>#DIV/0!</v>
      </c>
      <c r="Z14" s="204" t="e">
        <f t="shared" si="11"/>
        <v>#DIV/0!</v>
      </c>
      <c r="AA14" s="196">
        <f t="shared" si="3"/>
        <v>6.25E-2</v>
      </c>
      <c r="AB14" s="101"/>
      <c r="AC14" s="128"/>
    </row>
    <row r="15" spans="1:29" ht="14.4" x14ac:dyDescent="0.3">
      <c r="A15" s="193"/>
      <c r="B15" s="198" t="str">
        <f>'1. BRIEFING'!B24</f>
        <v>SERVIÇO EM ALVENARIA</v>
      </c>
      <c r="C15" s="199"/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6" t="e">
        <f t="shared" si="3"/>
        <v>#DIV/0!</v>
      </c>
      <c r="AB15" s="101"/>
      <c r="AC15" s="128"/>
    </row>
    <row r="16" spans="1:29" ht="14.4" outlineLevel="1" x14ac:dyDescent="0.3">
      <c r="A16" s="193"/>
      <c r="B16" s="201" t="str">
        <f>'1. BRIEFING'!B25</f>
        <v>ASSENTAMENTO DE ALVENARIA DE VEDAÇÃO</v>
      </c>
      <c r="C16" s="202" t="str">
        <f>'1. BRIEFING'!C25</f>
        <v>M²</v>
      </c>
      <c r="D16" s="207">
        <f>'1. BRIEFING'!D25</f>
        <v>1</v>
      </c>
      <c r="E16" s="37">
        <v>1</v>
      </c>
      <c r="F16" s="37"/>
      <c r="G16" s="37"/>
      <c r="H16" s="37"/>
      <c r="I16" s="37"/>
      <c r="J16" s="37"/>
      <c r="K16" s="37"/>
      <c r="L16" s="37">
        <v>1</v>
      </c>
      <c r="M16" s="203">
        <v>1.61</v>
      </c>
      <c r="N16" s="37" t="s">
        <v>645</v>
      </c>
      <c r="O16" s="37">
        <v>8</v>
      </c>
      <c r="P16" s="204">
        <f>ROUNDUP(AA16,0)</f>
        <v>1</v>
      </c>
      <c r="Q16" s="37"/>
      <c r="R16" s="204" t="e">
        <f>P16/Q16</f>
        <v>#DIV/0!</v>
      </c>
      <c r="S16" s="204" t="e">
        <f t="shared" ref="S16:Z16" si="12">E16*$R16</f>
        <v>#DIV/0!</v>
      </c>
      <c r="T16" s="204" t="e">
        <f t="shared" si="12"/>
        <v>#DIV/0!</v>
      </c>
      <c r="U16" s="204" t="e">
        <f t="shared" si="12"/>
        <v>#DIV/0!</v>
      </c>
      <c r="V16" s="205" t="e">
        <f t="shared" si="12"/>
        <v>#DIV/0!</v>
      </c>
      <c r="W16" s="204" t="e">
        <f t="shared" si="12"/>
        <v>#DIV/0!</v>
      </c>
      <c r="X16" s="204" t="e">
        <f t="shared" si="12"/>
        <v>#DIV/0!</v>
      </c>
      <c r="Y16" s="204" t="e">
        <f t="shared" si="12"/>
        <v>#DIV/0!</v>
      </c>
      <c r="Z16" s="204" t="e">
        <f t="shared" si="12"/>
        <v>#DIV/0!</v>
      </c>
      <c r="AA16" s="196">
        <f t="shared" si="3"/>
        <v>0.20125000000000001</v>
      </c>
      <c r="AB16" s="101"/>
      <c r="AC16" s="128"/>
    </row>
    <row r="17" spans="1:29" ht="14.4" x14ac:dyDescent="0.3">
      <c r="A17" s="193"/>
      <c r="B17" s="198" t="str">
        <f>'1. BRIEFING'!B29</f>
        <v>INSTALAÇÃO HIDRÁULICA</v>
      </c>
      <c r="C17" s="199"/>
      <c r="D17" s="199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6" t="e">
        <f t="shared" si="3"/>
        <v>#DIV/0!</v>
      </c>
      <c r="AB17" s="101"/>
      <c r="AC17" s="128"/>
    </row>
    <row r="18" spans="1:29" ht="14.4" outlineLevel="1" x14ac:dyDescent="0.3">
      <c r="A18" s="193"/>
      <c r="B18" s="201" t="str">
        <f>'1. BRIEFING'!B30</f>
        <v>INSTALAÇAO DE PONTO DE ÁGUA FRIA</v>
      </c>
      <c r="C18" s="202" t="str">
        <f>'1. BRIEFING'!C30</f>
        <v>UN</v>
      </c>
      <c r="D18" s="207">
        <f>'1. BRIEFING'!D30</f>
        <v>10</v>
      </c>
      <c r="E18" s="37"/>
      <c r="F18" s="37"/>
      <c r="G18" s="37"/>
      <c r="H18" s="37"/>
      <c r="I18" s="37"/>
      <c r="J18" s="37"/>
      <c r="K18" s="37"/>
      <c r="L18" s="37"/>
      <c r="M18" s="203">
        <v>1</v>
      </c>
      <c r="N18" s="37" t="s">
        <v>644</v>
      </c>
      <c r="O18" s="37">
        <v>8</v>
      </c>
      <c r="P18" s="204">
        <f t="shared" ref="P18:P22" si="13">ROUNDUP(AA18,0)</f>
        <v>2</v>
      </c>
      <c r="Q18" s="37"/>
      <c r="R18" s="204" t="e">
        <f t="shared" ref="R18:R22" si="14">P18/Q18</f>
        <v>#DIV/0!</v>
      </c>
      <c r="S18" s="204" t="e">
        <f t="shared" ref="S18:Z18" si="15">E18*$R18</f>
        <v>#DIV/0!</v>
      </c>
      <c r="T18" s="204" t="e">
        <f t="shared" si="15"/>
        <v>#DIV/0!</v>
      </c>
      <c r="U18" s="204" t="e">
        <f t="shared" si="15"/>
        <v>#DIV/0!</v>
      </c>
      <c r="V18" s="205" t="e">
        <f t="shared" si="15"/>
        <v>#DIV/0!</v>
      </c>
      <c r="W18" s="204" t="e">
        <f t="shared" si="15"/>
        <v>#DIV/0!</v>
      </c>
      <c r="X18" s="204" t="e">
        <f t="shared" si="15"/>
        <v>#DIV/0!</v>
      </c>
      <c r="Y18" s="204" t="e">
        <f t="shared" si="15"/>
        <v>#DIV/0!</v>
      </c>
      <c r="Z18" s="204" t="e">
        <f t="shared" si="15"/>
        <v>#DIV/0!</v>
      </c>
      <c r="AA18" s="196">
        <f t="shared" si="3"/>
        <v>1.25</v>
      </c>
      <c r="AB18" s="101"/>
      <c r="AC18" s="128"/>
    </row>
    <row r="19" spans="1:29" ht="14.4" outlineLevel="1" x14ac:dyDescent="0.3">
      <c r="A19" s="193"/>
      <c r="B19" s="201" t="str">
        <f>'1. BRIEFING'!B31</f>
        <v>INSTALAÇÃO DE PONTO DE ESGOTO 50 MM</v>
      </c>
      <c r="C19" s="202" t="str">
        <f>'1. BRIEFING'!C31</f>
        <v>UN</v>
      </c>
      <c r="D19" s="207">
        <f>'1. BRIEFING'!D31</f>
        <v>1</v>
      </c>
      <c r="E19" s="37"/>
      <c r="F19" s="37"/>
      <c r="G19" s="37"/>
      <c r="H19" s="37"/>
      <c r="I19" s="37"/>
      <c r="J19" s="37"/>
      <c r="K19" s="37"/>
      <c r="L19" s="37"/>
      <c r="M19" s="203">
        <v>1</v>
      </c>
      <c r="N19" s="37" t="s">
        <v>644</v>
      </c>
      <c r="O19" s="37">
        <v>8</v>
      </c>
      <c r="P19" s="204">
        <f t="shared" si="13"/>
        <v>1</v>
      </c>
      <c r="Q19" s="37"/>
      <c r="R19" s="204" t="e">
        <f t="shared" si="14"/>
        <v>#DIV/0!</v>
      </c>
      <c r="S19" s="204" t="e">
        <f t="shared" ref="S19:Z19" si="16">E19*$R19</f>
        <v>#DIV/0!</v>
      </c>
      <c r="T19" s="204" t="e">
        <f t="shared" si="16"/>
        <v>#DIV/0!</v>
      </c>
      <c r="U19" s="204" t="e">
        <f t="shared" si="16"/>
        <v>#DIV/0!</v>
      </c>
      <c r="V19" s="205" t="e">
        <f t="shared" si="16"/>
        <v>#DIV/0!</v>
      </c>
      <c r="W19" s="204" t="e">
        <f t="shared" si="16"/>
        <v>#DIV/0!</v>
      </c>
      <c r="X19" s="204" t="e">
        <f t="shared" si="16"/>
        <v>#DIV/0!</v>
      </c>
      <c r="Y19" s="204" t="e">
        <f t="shared" si="16"/>
        <v>#DIV/0!</v>
      </c>
      <c r="Z19" s="204" t="e">
        <f t="shared" si="16"/>
        <v>#DIV/0!</v>
      </c>
      <c r="AA19" s="196">
        <f t="shared" si="3"/>
        <v>0.125</v>
      </c>
      <c r="AB19" s="101"/>
      <c r="AC19" s="128"/>
    </row>
    <row r="20" spans="1:29" ht="14.4" outlineLevel="1" x14ac:dyDescent="0.3">
      <c r="A20" s="193"/>
      <c r="B20" s="201" t="str">
        <f>'1. BRIEFING'!B32</f>
        <v>RELOCAÇÃO DE PONTO DE ESGOTO 100 MM</v>
      </c>
      <c r="C20" s="202" t="str">
        <f>'1. BRIEFING'!C32</f>
        <v>UN</v>
      </c>
      <c r="D20" s="207">
        <f>'1. BRIEFING'!D32</f>
        <v>1</v>
      </c>
      <c r="E20" s="37"/>
      <c r="F20" s="37"/>
      <c r="G20" s="37"/>
      <c r="H20" s="37"/>
      <c r="I20" s="37"/>
      <c r="J20" s="37"/>
      <c r="K20" s="37"/>
      <c r="L20" s="37"/>
      <c r="M20" s="203">
        <v>1</v>
      </c>
      <c r="N20" s="37" t="s">
        <v>644</v>
      </c>
      <c r="O20" s="37">
        <v>8</v>
      </c>
      <c r="P20" s="204">
        <f t="shared" si="13"/>
        <v>1</v>
      </c>
      <c r="Q20" s="37"/>
      <c r="R20" s="204" t="e">
        <f t="shared" si="14"/>
        <v>#DIV/0!</v>
      </c>
      <c r="S20" s="204" t="e">
        <f t="shared" ref="S20:Z20" si="17">E20*$R20</f>
        <v>#DIV/0!</v>
      </c>
      <c r="T20" s="204" t="e">
        <f t="shared" si="17"/>
        <v>#DIV/0!</v>
      </c>
      <c r="U20" s="204" t="e">
        <f t="shared" si="17"/>
        <v>#DIV/0!</v>
      </c>
      <c r="V20" s="205" t="e">
        <f t="shared" si="17"/>
        <v>#DIV/0!</v>
      </c>
      <c r="W20" s="204" t="e">
        <f t="shared" si="17"/>
        <v>#DIV/0!</v>
      </c>
      <c r="X20" s="204" t="e">
        <f t="shared" si="17"/>
        <v>#DIV/0!</v>
      </c>
      <c r="Y20" s="204" t="e">
        <f t="shared" si="17"/>
        <v>#DIV/0!</v>
      </c>
      <c r="Z20" s="204" t="e">
        <f t="shared" si="17"/>
        <v>#DIV/0!</v>
      </c>
      <c r="AA20" s="196">
        <f t="shared" si="3"/>
        <v>0.125</v>
      </c>
      <c r="AB20" s="101"/>
      <c r="AC20" s="128"/>
    </row>
    <row r="21" spans="1:29" ht="14.4" outlineLevel="1" x14ac:dyDescent="0.3">
      <c r="A21" s="193"/>
      <c r="B21" s="201" t="str">
        <f>'1. BRIEFING'!B33</f>
        <v>INSTALAÇÃO DE PONTO DE REGISTRO DE GAVETA</v>
      </c>
      <c r="C21" s="202" t="str">
        <f>'1. BRIEFING'!C33</f>
        <v>UN</v>
      </c>
      <c r="D21" s="207">
        <f>'1. BRIEFING'!D33</f>
        <v>1</v>
      </c>
      <c r="E21" s="37"/>
      <c r="F21" s="37"/>
      <c r="G21" s="37"/>
      <c r="H21" s="37"/>
      <c r="I21" s="37"/>
      <c r="J21" s="37"/>
      <c r="K21" s="37"/>
      <c r="L21" s="37"/>
      <c r="M21" s="203">
        <v>1</v>
      </c>
      <c r="N21" s="37" t="s">
        <v>644</v>
      </c>
      <c r="O21" s="37">
        <v>8</v>
      </c>
      <c r="P21" s="204">
        <f t="shared" si="13"/>
        <v>1</v>
      </c>
      <c r="Q21" s="37"/>
      <c r="R21" s="204" t="e">
        <f t="shared" si="14"/>
        <v>#DIV/0!</v>
      </c>
      <c r="S21" s="204" t="e">
        <f t="shared" ref="S21:Z21" si="18">E21*$R21</f>
        <v>#DIV/0!</v>
      </c>
      <c r="T21" s="204" t="e">
        <f t="shared" si="18"/>
        <v>#DIV/0!</v>
      </c>
      <c r="U21" s="204" t="e">
        <f t="shared" si="18"/>
        <v>#DIV/0!</v>
      </c>
      <c r="V21" s="205" t="e">
        <f t="shared" si="18"/>
        <v>#DIV/0!</v>
      </c>
      <c r="W21" s="204" t="e">
        <f t="shared" si="18"/>
        <v>#DIV/0!</v>
      </c>
      <c r="X21" s="204" t="e">
        <f t="shared" si="18"/>
        <v>#DIV/0!</v>
      </c>
      <c r="Y21" s="204" t="e">
        <f t="shared" si="18"/>
        <v>#DIV/0!</v>
      </c>
      <c r="Z21" s="204" t="e">
        <f t="shared" si="18"/>
        <v>#DIV/0!</v>
      </c>
      <c r="AA21" s="196">
        <f t="shared" si="3"/>
        <v>0.125</v>
      </c>
      <c r="AB21" s="101"/>
      <c r="AC21" s="128"/>
    </row>
    <row r="22" spans="1:29" ht="14.4" outlineLevel="1" x14ac:dyDescent="0.3">
      <c r="A22" s="193"/>
      <c r="B22" s="201" t="str">
        <f>'1. BRIEFING'!B34</f>
        <v>INSTALAÇÃO DE PONTO DE REGISTRO DE PRESSÃO</v>
      </c>
      <c r="C22" s="202" t="str">
        <f>'1. BRIEFING'!C34</f>
        <v>UN</v>
      </c>
      <c r="D22" s="207">
        <f>'1. BRIEFING'!D34</f>
        <v>1</v>
      </c>
      <c r="E22" s="37"/>
      <c r="F22" s="37"/>
      <c r="G22" s="37"/>
      <c r="H22" s="37"/>
      <c r="I22" s="37"/>
      <c r="J22" s="37"/>
      <c r="K22" s="37"/>
      <c r="L22" s="37"/>
      <c r="M22" s="203">
        <v>1</v>
      </c>
      <c r="N22" s="37" t="s">
        <v>644</v>
      </c>
      <c r="O22" s="37">
        <v>8</v>
      </c>
      <c r="P22" s="204">
        <f t="shared" si="13"/>
        <v>1</v>
      </c>
      <c r="Q22" s="37"/>
      <c r="R22" s="204" t="e">
        <f t="shared" si="14"/>
        <v>#DIV/0!</v>
      </c>
      <c r="S22" s="204" t="e">
        <f t="shared" ref="S22:Z22" si="19">E22*$R22</f>
        <v>#DIV/0!</v>
      </c>
      <c r="T22" s="204" t="e">
        <f t="shared" si="19"/>
        <v>#DIV/0!</v>
      </c>
      <c r="U22" s="204" t="e">
        <f t="shared" si="19"/>
        <v>#DIV/0!</v>
      </c>
      <c r="V22" s="205" t="e">
        <f t="shared" si="19"/>
        <v>#DIV/0!</v>
      </c>
      <c r="W22" s="204" t="e">
        <f t="shared" si="19"/>
        <v>#DIV/0!</v>
      </c>
      <c r="X22" s="204" t="e">
        <f t="shared" si="19"/>
        <v>#DIV/0!</v>
      </c>
      <c r="Y22" s="204" t="e">
        <f t="shared" si="19"/>
        <v>#DIV/0!</v>
      </c>
      <c r="Z22" s="204" t="e">
        <f t="shared" si="19"/>
        <v>#DIV/0!</v>
      </c>
      <c r="AA22" s="196">
        <f t="shared" si="3"/>
        <v>0.125</v>
      </c>
      <c r="AB22" s="101"/>
      <c r="AC22" s="128"/>
    </row>
    <row r="23" spans="1:29" ht="14.4" x14ac:dyDescent="0.3">
      <c r="A23" s="193"/>
      <c r="B23" s="198" t="str">
        <f>'1. BRIEFING'!B35</f>
        <v>INSTALAÇÃO ELÉTRICA</v>
      </c>
      <c r="C23" s="199"/>
      <c r="D23" s="199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199"/>
      <c r="W23" s="199"/>
      <c r="X23" s="199"/>
      <c r="Y23" s="199"/>
      <c r="Z23" s="199"/>
      <c r="AA23" s="196" t="e">
        <f t="shared" si="3"/>
        <v>#DIV/0!</v>
      </c>
      <c r="AB23" s="101"/>
      <c r="AC23" s="128"/>
    </row>
    <row r="24" spans="1:29" ht="14.4" x14ac:dyDescent="0.3">
      <c r="A24" s="193"/>
      <c r="B24" s="201" t="str">
        <f>'1. BRIEFING'!B36</f>
        <v>INSTALAÇÃO DE INFRAESTRUTURA PARA TOMADA E ILUMINAÇÃO</v>
      </c>
      <c r="C24" s="202" t="str">
        <f>'1. BRIEFING'!C36</f>
        <v>UN</v>
      </c>
      <c r="D24" s="207">
        <f>'1. BRIEFING'!D36</f>
        <v>1</v>
      </c>
      <c r="E24" s="37"/>
      <c r="F24" s="37"/>
      <c r="G24" s="37"/>
      <c r="H24" s="37"/>
      <c r="I24" s="37"/>
      <c r="J24" s="37"/>
      <c r="K24" s="37"/>
      <c r="L24" s="37"/>
      <c r="M24" s="203">
        <v>0.2</v>
      </c>
      <c r="N24" s="37" t="s">
        <v>644</v>
      </c>
      <c r="O24" s="37">
        <v>8</v>
      </c>
      <c r="P24" s="204">
        <f t="shared" ref="P24:P28" si="20">ROUNDUP(AA24,0)</f>
        <v>1</v>
      </c>
      <c r="Q24" s="37"/>
      <c r="R24" s="204" t="e">
        <f t="shared" ref="R24:R28" si="21">P24/Q24</f>
        <v>#DIV/0!</v>
      </c>
      <c r="S24" s="204" t="e">
        <f t="shared" ref="S24:Z24" si="22">E24*$R24</f>
        <v>#DIV/0!</v>
      </c>
      <c r="T24" s="204" t="e">
        <f t="shared" si="22"/>
        <v>#DIV/0!</v>
      </c>
      <c r="U24" s="204" t="e">
        <f t="shared" si="22"/>
        <v>#DIV/0!</v>
      </c>
      <c r="V24" s="205" t="e">
        <f t="shared" si="22"/>
        <v>#DIV/0!</v>
      </c>
      <c r="W24" s="204" t="e">
        <f t="shared" si="22"/>
        <v>#DIV/0!</v>
      </c>
      <c r="X24" s="204" t="e">
        <f t="shared" si="22"/>
        <v>#DIV/0!</v>
      </c>
      <c r="Y24" s="204" t="e">
        <f t="shared" si="22"/>
        <v>#DIV/0!</v>
      </c>
      <c r="Z24" s="204" t="e">
        <f t="shared" si="22"/>
        <v>#DIV/0!</v>
      </c>
      <c r="AA24" s="196">
        <f t="shared" si="3"/>
        <v>2.5000000000000001E-2</v>
      </c>
      <c r="AB24" s="101"/>
      <c r="AC24" s="128"/>
    </row>
    <row r="25" spans="1:29" ht="14.4" x14ac:dyDescent="0.3">
      <c r="A25" s="193"/>
      <c r="B25" s="201" t="str">
        <f>'1. BRIEFING'!B37</f>
        <v>INSTALAÇÃO DE CABEAMENTO PARA PONTOS DE TOMADAS</v>
      </c>
      <c r="C25" s="202" t="str">
        <f>'1. BRIEFING'!C37</f>
        <v>UN</v>
      </c>
      <c r="D25" s="207">
        <f>'1. BRIEFING'!D37</f>
        <v>1</v>
      </c>
      <c r="E25" s="37"/>
      <c r="F25" s="37"/>
      <c r="G25" s="37"/>
      <c r="H25" s="37"/>
      <c r="I25" s="37"/>
      <c r="J25" s="37"/>
      <c r="K25" s="37"/>
      <c r="L25" s="37"/>
      <c r="M25" s="203">
        <v>0.2</v>
      </c>
      <c r="N25" s="37" t="s">
        <v>644</v>
      </c>
      <c r="O25" s="37">
        <v>8</v>
      </c>
      <c r="P25" s="204">
        <f t="shared" si="20"/>
        <v>1</v>
      </c>
      <c r="Q25" s="37"/>
      <c r="R25" s="204" t="e">
        <f t="shared" si="21"/>
        <v>#DIV/0!</v>
      </c>
      <c r="S25" s="204" t="e">
        <f t="shared" ref="S25:Z25" si="23">E25*$R25</f>
        <v>#DIV/0!</v>
      </c>
      <c r="T25" s="204" t="e">
        <f t="shared" si="23"/>
        <v>#DIV/0!</v>
      </c>
      <c r="U25" s="204" t="e">
        <f t="shared" si="23"/>
        <v>#DIV/0!</v>
      </c>
      <c r="V25" s="205" t="e">
        <f t="shared" si="23"/>
        <v>#DIV/0!</v>
      </c>
      <c r="W25" s="204" t="e">
        <f t="shared" si="23"/>
        <v>#DIV/0!</v>
      </c>
      <c r="X25" s="204" t="e">
        <f t="shared" si="23"/>
        <v>#DIV/0!</v>
      </c>
      <c r="Y25" s="204" t="e">
        <f t="shared" si="23"/>
        <v>#DIV/0!</v>
      </c>
      <c r="Z25" s="204" t="e">
        <f t="shared" si="23"/>
        <v>#DIV/0!</v>
      </c>
      <c r="AA25" s="196">
        <f t="shared" si="3"/>
        <v>2.5000000000000001E-2</v>
      </c>
      <c r="AB25" s="101"/>
      <c r="AC25" s="128"/>
    </row>
    <row r="26" spans="1:29" ht="14.4" x14ac:dyDescent="0.3">
      <c r="A26" s="193"/>
      <c r="B26" s="201" t="str">
        <f>'1. BRIEFING'!B38</f>
        <v>INSTALAÇÃO DE CABEAMENTO PARA PONTOS DE ILUMINAÇÃO</v>
      </c>
      <c r="C26" s="202" t="str">
        <f>'1. BRIEFING'!C38</f>
        <v>UN</v>
      </c>
      <c r="D26" s="207">
        <f>'1. BRIEFING'!D38</f>
        <v>1</v>
      </c>
      <c r="E26" s="37"/>
      <c r="F26" s="37"/>
      <c r="G26" s="37"/>
      <c r="H26" s="37"/>
      <c r="I26" s="37"/>
      <c r="J26" s="37"/>
      <c r="K26" s="37"/>
      <c r="L26" s="37"/>
      <c r="M26" s="203">
        <v>0.2</v>
      </c>
      <c r="N26" s="37" t="s">
        <v>644</v>
      </c>
      <c r="O26" s="37">
        <v>8</v>
      </c>
      <c r="P26" s="204">
        <f t="shared" si="20"/>
        <v>1</v>
      </c>
      <c r="Q26" s="37"/>
      <c r="R26" s="204" t="e">
        <f t="shared" si="21"/>
        <v>#DIV/0!</v>
      </c>
      <c r="S26" s="204" t="e">
        <f t="shared" ref="S26:Z26" si="24">E26*$R26</f>
        <v>#DIV/0!</v>
      </c>
      <c r="T26" s="204" t="e">
        <f t="shared" si="24"/>
        <v>#DIV/0!</v>
      </c>
      <c r="U26" s="204" t="e">
        <f t="shared" si="24"/>
        <v>#DIV/0!</v>
      </c>
      <c r="V26" s="205" t="e">
        <f t="shared" si="24"/>
        <v>#DIV/0!</v>
      </c>
      <c r="W26" s="204" t="e">
        <f t="shared" si="24"/>
        <v>#DIV/0!</v>
      </c>
      <c r="X26" s="204" t="e">
        <f t="shared" si="24"/>
        <v>#DIV/0!</v>
      </c>
      <c r="Y26" s="204" t="e">
        <f t="shared" si="24"/>
        <v>#DIV/0!</v>
      </c>
      <c r="Z26" s="204" t="e">
        <f t="shared" si="24"/>
        <v>#DIV/0!</v>
      </c>
      <c r="AA26" s="196">
        <f t="shared" si="3"/>
        <v>2.5000000000000001E-2</v>
      </c>
      <c r="AB26" s="101"/>
      <c r="AC26" s="128"/>
    </row>
    <row r="27" spans="1:29" ht="14.4" x14ac:dyDescent="0.3">
      <c r="A27" s="193"/>
      <c r="B27" s="201" t="str">
        <f>'1. BRIEFING'!B39</f>
        <v>REISNTALAÇÃO DE QUADRO DE DISTRIBUIÇÃO (ADEQUAÇÃO)</v>
      </c>
      <c r="C27" s="202" t="str">
        <f>'1. BRIEFING'!C39</f>
        <v>VB</v>
      </c>
      <c r="D27" s="207">
        <f>'1. BRIEFING'!D39</f>
        <v>1</v>
      </c>
      <c r="E27" s="37"/>
      <c r="F27" s="37"/>
      <c r="G27" s="37"/>
      <c r="H27" s="37"/>
      <c r="I27" s="37"/>
      <c r="J27" s="37"/>
      <c r="K27" s="37"/>
      <c r="L27" s="37"/>
      <c r="M27" s="203">
        <v>0.2</v>
      </c>
      <c r="N27" s="37" t="s">
        <v>644</v>
      </c>
      <c r="O27" s="37">
        <v>8</v>
      </c>
      <c r="P27" s="204">
        <f t="shared" si="20"/>
        <v>1</v>
      </c>
      <c r="Q27" s="37"/>
      <c r="R27" s="204" t="e">
        <f t="shared" si="21"/>
        <v>#DIV/0!</v>
      </c>
      <c r="S27" s="204" t="e">
        <f t="shared" ref="S27:Z27" si="25">E27*$R27</f>
        <v>#DIV/0!</v>
      </c>
      <c r="T27" s="204" t="e">
        <f t="shared" si="25"/>
        <v>#DIV/0!</v>
      </c>
      <c r="U27" s="204" t="e">
        <f t="shared" si="25"/>
        <v>#DIV/0!</v>
      </c>
      <c r="V27" s="205" t="e">
        <f t="shared" si="25"/>
        <v>#DIV/0!</v>
      </c>
      <c r="W27" s="204" t="e">
        <f t="shared" si="25"/>
        <v>#DIV/0!</v>
      </c>
      <c r="X27" s="204" t="e">
        <f t="shared" si="25"/>
        <v>#DIV/0!</v>
      </c>
      <c r="Y27" s="204" t="e">
        <f t="shared" si="25"/>
        <v>#DIV/0!</v>
      </c>
      <c r="Z27" s="204" t="e">
        <f t="shared" si="25"/>
        <v>#DIV/0!</v>
      </c>
      <c r="AA27" s="196">
        <f t="shared" si="3"/>
        <v>2.5000000000000001E-2</v>
      </c>
      <c r="AB27" s="101"/>
      <c r="AC27" s="128"/>
    </row>
    <row r="28" spans="1:29" ht="14.4" x14ac:dyDescent="0.3">
      <c r="A28" s="193"/>
      <c r="B28" s="201" t="str">
        <f>'1. BRIEFING'!B40</f>
        <v>INSTALAÇÃO DE INFRAESTRUTURA PARA PONTOS DE REDE/ANTENA/CAMERA/SOM</v>
      </c>
      <c r="C28" s="202" t="str">
        <f>'1. BRIEFING'!C40</f>
        <v>UN</v>
      </c>
      <c r="D28" s="207">
        <f>'1. BRIEFING'!D40</f>
        <v>1</v>
      </c>
      <c r="E28" s="37"/>
      <c r="F28" s="37"/>
      <c r="G28" s="37"/>
      <c r="H28" s="37"/>
      <c r="I28" s="37"/>
      <c r="J28" s="37"/>
      <c r="K28" s="37"/>
      <c r="L28" s="37"/>
      <c r="M28" s="203">
        <v>0.2</v>
      </c>
      <c r="N28" s="37" t="s">
        <v>644</v>
      </c>
      <c r="O28" s="37">
        <v>8</v>
      </c>
      <c r="P28" s="204">
        <f t="shared" si="20"/>
        <v>1</v>
      </c>
      <c r="Q28" s="37"/>
      <c r="R28" s="204" t="e">
        <f t="shared" si="21"/>
        <v>#DIV/0!</v>
      </c>
      <c r="S28" s="204" t="e">
        <f t="shared" ref="S28:Z28" si="26">E28*$R28</f>
        <v>#DIV/0!</v>
      </c>
      <c r="T28" s="204" t="e">
        <f t="shared" si="26"/>
        <v>#DIV/0!</v>
      </c>
      <c r="U28" s="204" t="e">
        <f t="shared" si="26"/>
        <v>#DIV/0!</v>
      </c>
      <c r="V28" s="205" t="e">
        <f t="shared" si="26"/>
        <v>#DIV/0!</v>
      </c>
      <c r="W28" s="204" t="e">
        <f t="shared" si="26"/>
        <v>#DIV/0!</v>
      </c>
      <c r="X28" s="204" t="e">
        <f t="shared" si="26"/>
        <v>#DIV/0!</v>
      </c>
      <c r="Y28" s="204" t="e">
        <f t="shared" si="26"/>
        <v>#DIV/0!</v>
      </c>
      <c r="Z28" s="204" t="e">
        <f t="shared" si="26"/>
        <v>#DIV/0!</v>
      </c>
      <c r="AA28" s="196">
        <f t="shared" si="3"/>
        <v>2.5000000000000001E-2</v>
      </c>
      <c r="AB28" s="101"/>
      <c r="AC28" s="128"/>
    </row>
    <row r="29" spans="1:29" ht="14.4" x14ac:dyDescent="0.3">
      <c r="A29" s="193"/>
      <c r="B29" s="198" t="str">
        <f>'1. BRIEFING'!B41</f>
        <v>INSTALAÇÃO DE EQUIPAMENTOS</v>
      </c>
      <c r="C29" s="199"/>
      <c r="D29" s="199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99"/>
      <c r="R29" s="199"/>
      <c r="S29" s="199"/>
      <c r="T29" s="199"/>
      <c r="U29" s="199"/>
      <c r="V29" s="199"/>
      <c r="W29" s="199"/>
      <c r="X29" s="199"/>
      <c r="Y29" s="199"/>
      <c r="Z29" s="199"/>
      <c r="AA29" s="196" t="e">
        <f t="shared" si="3"/>
        <v>#DIV/0!</v>
      </c>
      <c r="AB29" s="101"/>
      <c r="AC29" s="128"/>
    </row>
    <row r="30" spans="1:29" ht="14.4" x14ac:dyDescent="0.3">
      <c r="A30" s="193"/>
      <c r="B30" s="201" t="str">
        <f>'1. BRIEFING'!B42</f>
        <v>INSTALAÇÃO DE INFRA PARA AR CONDICIONADO</v>
      </c>
      <c r="C30" s="202" t="str">
        <f>'1. BRIEFING'!C39</f>
        <v>VB</v>
      </c>
      <c r="D30" s="207">
        <f>'1. BRIEFING'!D39</f>
        <v>1</v>
      </c>
      <c r="E30" s="37"/>
      <c r="F30" s="37"/>
      <c r="G30" s="37"/>
      <c r="H30" s="37"/>
      <c r="I30" s="37"/>
      <c r="J30" s="37"/>
      <c r="K30" s="37"/>
      <c r="L30" s="37"/>
      <c r="M30" s="203"/>
      <c r="N30" s="37" t="s">
        <v>644</v>
      </c>
      <c r="O30" s="37">
        <v>8</v>
      </c>
      <c r="P30" s="204" t="e">
        <f t="shared" ref="P30:P32" si="27">ROUNDUP(AA30,0)</f>
        <v>#DIV/0!</v>
      </c>
      <c r="Q30" s="37"/>
      <c r="R30" s="204" t="e">
        <f t="shared" ref="R30:R32" si="28">P30/Q30</f>
        <v>#DIV/0!</v>
      </c>
      <c r="S30" s="204" t="e">
        <f t="shared" ref="S30:Z30" si="29">E30*$R30</f>
        <v>#DIV/0!</v>
      </c>
      <c r="T30" s="204" t="e">
        <f t="shared" si="29"/>
        <v>#DIV/0!</v>
      </c>
      <c r="U30" s="204" t="e">
        <f t="shared" si="29"/>
        <v>#DIV/0!</v>
      </c>
      <c r="V30" s="205" t="e">
        <f t="shared" si="29"/>
        <v>#DIV/0!</v>
      </c>
      <c r="W30" s="204" t="e">
        <f t="shared" si="29"/>
        <v>#DIV/0!</v>
      </c>
      <c r="X30" s="204" t="e">
        <f t="shared" si="29"/>
        <v>#DIV/0!</v>
      </c>
      <c r="Y30" s="204" t="e">
        <f t="shared" si="29"/>
        <v>#DIV/0!</v>
      </c>
      <c r="Z30" s="204" t="e">
        <f t="shared" si="29"/>
        <v>#DIV/0!</v>
      </c>
      <c r="AA30" s="196" t="e">
        <f t="shared" si="3"/>
        <v>#DIV/0!</v>
      </c>
      <c r="AB30" s="101"/>
      <c r="AC30" s="128"/>
    </row>
    <row r="31" spans="1:29" ht="14.4" x14ac:dyDescent="0.3">
      <c r="A31" s="193"/>
      <c r="B31" s="201" t="str">
        <f>'1. BRIEFING'!B43</f>
        <v xml:space="preserve">INSTALAÇÃO DE BOILER </v>
      </c>
      <c r="C31" s="202" t="str">
        <f>'1. BRIEFING'!C40</f>
        <v>UN</v>
      </c>
      <c r="D31" s="207">
        <f>'1. BRIEFING'!D40</f>
        <v>1</v>
      </c>
      <c r="E31" s="37"/>
      <c r="F31" s="37"/>
      <c r="G31" s="37"/>
      <c r="H31" s="37"/>
      <c r="I31" s="37"/>
      <c r="J31" s="37"/>
      <c r="K31" s="37"/>
      <c r="L31" s="37"/>
      <c r="M31" s="203"/>
      <c r="N31" s="37" t="s">
        <v>644</v>
      </c>
      <c r="O31" s="37">
        <v>8</v>
      </c>
      <c r="P31" s="204" t="e">
        <f t="shared" si="27"/>
        <v>#DIV/0!</v>
      </c>
      <c r="Q31" s="37"/>
      <c r="R31" s="204" t="e">
        <f t="shared" si="28"/>
        <v>#DIV/0!</v>
      </c>
      <c r="S31" s="204" t="e">
        <f t="shared" ref="S31:Z31" si="30">E31*$R31</f>
        <v>#DIV/0!</v>
      </c>
      <c r="T31" s="204" t="e">
        <f t="shared" si="30"/>
        <v>#DIV/0!</v>
      </c>
      <c r="U31" s="204" t="e">
        <f t="shared" si="30"/>
        <v>#DIV/0!</v>
      </c>
      <c r="V31" s="205" t="e">
        <f t="shared" si="30"/>
        <v>#DIV/0!</v>
      </c>
      <c r="W31" s="204" t="e">
        <f t="shared" si="30"/>
        <v>#DIV/0!</v>
      </c>
      <c r="X31" s="204" t="e">
        <f t="shared" si="30"/>
        <v>#DIV/0!</v>
      </c>
      <c r="Y31" s="204" t="e">
        <f t="shared" si="30"/>
        <v>#DIV/0!</v>
      </c>
      <c r="Z31" s="204" t="e">
        <f t="shared" si="30"/>
        <v>#DIV/0!</v>
      </c>
      <c r="AA31" s="196" t="e">
        <f t="shared" si="3"/>
        <v>#DIV/0!</v>
      </c>
      <c r="AB31" s="101"/>
      <c r="AC31" s="128"/>
    </row>
    <row r="32" spans="1:29" ht="14.4" x14ac:dyDescent="0.3">
      <c r="A32" s="193"/>
      <c r="B32" s="201" t="str">
        <f>'1. BRIEFING'!B44</f>
        <v>INSTALAÇÃO DE EXAUSTOR l BWC CAMARIM E MAS</v>
      </c>
      <c r="C32" s="202">
        <f>'1. BRIEFING'!C41</f>
        <v>0</v>
      </c>
      <c r="D32" s="202">
        <f>'1. BRIEFING'!D41</f>
        <v>0</v>
      </c>
      <c r="E32" s="37"/>
      <c r="F32" s="37"/>
      <c r="G32" s="37"/>
      <c r="H32" s="37"/>
      <c r="I32" s="37"/>
      <c r="J32" s="37"/>
      <c r="K32" s="37"/>
      <c r="L32" s="37"/>
      <c r="M32" s="203"/>
      <c r="N32" s="37" t="s">
        <v>644</v>
      </c>
      <c r="O32" s="37">
        <v>8</v>
      </c>
      <c r="P32" s="204" t="e">
        <f t="shared" si="27"/>
        <v>#DIV/0!</v>
      </c>
      <c r="Q32" s="37"/>
      <c r="R32" s="204" t="e">
        <f t="shared" si="28"/>
        <v>#DIV/0!</v>
      </c>
      <c r="S32" s="204" t="e">
        <f t="shared" ref="S32:Z32" si="31">E32*$R32</f>
        <v>#DIV/0!</v>
      </c>
      <c r="T32" s="204" t="e">
        <f t="shared" si="31"/>
        <v>#DIV/0!</v>
      </c>
      <c r="U32" s="204" t="e">
        <f t="shared" si="31"/>
        <v>#DIV/0!</v>
      </c>
      <c r="V32" s="205" t="e">
        <f t="shared" si="31"/>
        <v>#DIV/0!</v>
      </c>
      <c r="W32" s="204" t="e">
        <f t="shared" si="31"/>
        <v>#DIV/0!</v>
      </c>
      <c r="X32" s="204" t="e">
        <f t="shared" si="31"/>
        <v>#DIV/0!</v>
      </c>
      <c r="Y32" s="204" t="e">
        <f t="shared" si="31"/>
        <v>#DIV/0!</v>
      </c>
      <c r="Z32" s="204" t="e">
        <f t="shared" si="31"/>
        <v>#DIV/0!</v>
      </c>
      <c r="AA32" s="196" t="e">
        <f t="shared" si="3"/>
        <v>#DIV/0!</v>
      </c>
      <c r="AB32" s="101"/>
      <c r="AC32" s="128"/>
    </row>
    <row r="33" spans="1:29" ht="14.4" x14ac:dyDescent="0.3">
      <c r="A33" s="193"/>
      <c r="B33" s="198" t="str">
        <f>'1. BRIEFING'!B45</f>
        <v>INSTALAÇÃO DE ILUMINAÇÃO</v>
      </c>
      <c r="C33" s="199"/>
      <c r="D33" s="199"/>
      <c r="E33" s="199"/>
      <c r="F33" s="199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99"/>
      <c r="R33" s="199"/>
      <c r="S33" s="199"/>
      <c r="T33" s="199"/>
      <c r="U33" s="199"/>
      <c r="V33" s="199"/>
      <c r="W33" s="199"/>
      <c r="X33" s="199"/>
      <c r="Y33" s="199"/>
      <c r="Z33" s="199"/>
      <c r="AA33" s="196" t="e">
        <f t="shared" si="3"/>
        <v>#DIV/0!</v>
      </c>
      <c r="AB33" s="101"/>
      <c r="AC33" s="128"/>
    </row>
    <row r="34" spans="1:29" ht="14.4" x14ac:dyDescent="0.3">
      <c r="A34" s="193"/>
      <c r="B34" s="201" t="str">
        <f>'1. BRIEFING'!B46</f>
        <v>INSTALAÇÃO DE LUMINÁRIA DE EMBUTIR QUADRADA 20W EM FORRO DE GESSO</v>
      </c>
      <c r="C34" s="202" t="str">
        <f>'1. BRIEFING'!C43</f>
        <v>UN</v>
      </c>
      <c r="D34" s="207">
        <f>'1. BRIEFING'!D43</f>
        <v>1</v>
      </c>
      <c r="E34" s="37"/>
      <c r="F34" s="37"/>
      <c r="G34" s="37"/>
      <c r="H34" s="37"/>
      <c r="I34" s="37"/>
      <c r="J34" s="37"/>
      <c r="K34" s="37"/>
      <c r="L34" s="37"/>
      <c r="M34" s="203"/>
      <c r="N34" s="37"/>
      <c r="O34" s="37">
        <v>8</v>
      </c>
      <c r="P34" s="204" t="e">
        <f t="shared" ref="P34:P37" si="32">ROUNDUP(AA34,0)</f>
        <v>#DIV/0!</v>
      </c>
      <c r="Q34" s="37"/>
      <c r="R34" s="204" t="e">
        <f t="shared" ref="R34:R37" si="33">P34/Q34</f>
        <v>#DIV/0!</v>
      </c>
      <c r="S34" s="204" t="e">
        <f t="shared" ref="S34:Z34" si="34">E34*$R34</f>
        <v>#DIV/0!</v>
      </c>
      <c r="T34" s="204" t="e">
        <f t="shared" si="34"/>
        <v>#DIV/0!</v>
      </c>
      <c r="U34" s="204" t="e">
        <f t="shared" si="34"/>
        <v>#DIV/0!</v>
      </c>
      <c r="V34" s="205" t="e">
        <f t="shared" si="34"/>
        <v>#DIV/0!</v>
      </c>
      <c r="W34" s="204" t="e">
        <f t="shared" si="34"/>
        <v>#DIV/0!</v>
      </c>
      <c r="X34" s="204" t="e">
        <f t="shared" si="34"/>
        <v>#DIV/0!</v>
      </c>
      <c r="Y34" s="204" t="e">
        <f t="shared" si="34"/>
        <v>#DIV/0!</v>
      </c>
      <c r="Z34" s="204" t="e">
        <f t="shared" si="34"/>
        <v>#DIV/0!</v>
      </c>
      <c r="AA34" s="196" t="e">
        <f t="shared" si="3"/>
        <v>#DIV/0!</v>
      </c>
      <c r="AB34" s="101"/>
      <c r="AC34" s="128"/>
    </row>
    <row r="35" spans="1:29" ht="14.4" x14ac:dyDescent="0.3">
      <c r="A35" s="193"/>
      <c r="B35" s="201" t="str">
        <f>'1. BRIEFING'!B47</f>
        <v>INSTALAÇÃO DE DICROICAS DIRECIONAIS</v>
      </c>
      <c r="C35" s="202" t="str">
        <f>'1. BRIEFING'!C44</f>
        <v>UN</v>
      </c>
      <c r="D35" s="207">
        <f>'1. BRIEFING'!D44</f>
        <v>1</v>
      </c>
      <c r="E35" s="37"/>
      <c r="F35" s="37"/>
      <c r="G35" s="37"/>
      <c r="H35" s="37"/>
      <c r="I35" s="37"/>
      <c r="J35" s="37"/>
      <c r="K35" s="37"/>
      <c r="L35" s="37"/>
      <c r="M35" s="203"/>
      <c r="N35" s="37"/>
      <c r="O35" s="37">
        <v>8</v>
      </c>
      <c r="P35" s="204" t="e">
        <f t="shared" si="32"/>
        <v>#DIV/0!</v>
      </c>
      <c r="Q35" s="37"/>
      <c r="R35" s="204" t="e">
        <f t="shared" si="33"/>
        <v>#DIV/0!</v>
      </c>
      <c r="S35" s="204" t="e">
        <f t="shared" ref="S35:Z35" si="35">E35*$R35</f>
        <v>#DIV/0!</v>
      </c>
      <c r="T35" s="204" t="e">
        <f t="shared" si="35"/>
        <v>#DIV/0!</v>
      </c>
      <c r="U35" s="204" t="e">
        <f t="shared" si="35"/>
        <v>#DIV/0!</v>
      </c>
      <c r="V35" s="205" t="e">
        <f t="shared" si="35"/>
        <v>#DIV/0!</v>
      </c>
      <c r="W35" s="204" t="e">
        <f t="shared" si="35"/>
        <v>#DIV/0!</v>
      </c>
      <c r="X35" s="204" t="e">
        <f t="shared" si="35"/>
        <v>#DIV/0!</v>
      </c>
      <c r="Y35" s="204" t="e">
        <f t="shared" si="35"/>
        <v>#DIV/0!</v>
      </c>
      <c r="Z35" s="204" t="e">
        <f t="shared" si="35"/>
        <v>#DIV/0!</v>
      </c>
      <c r="AA35" s="196" t="e">
        <f t="shared" si="3"/>
        <v>#DIV/0!</v>
      </c>
      <c r="AB35" s="101"/>
      <c r="AC35" s="128"/>
    </row>
    <row r="36" spans="1:29" ht="14.4" x14ac:dyDescent="0.3">
      <c r="A36" s="193"/>
      <c r="B36" s="201" t="str">
        <f>'1. BRIEFING'!B48</f>
        <v>INSTALAÇÃO DE FITA EM LED</v>
      </c>
      <c r="C36" s="202">
        <f>'1. BRIEFING'!C45</f>
        <v>0</v>
      </c>
      <c r="D36" s="202">
        <f>'1. BRIEFING'!D45</f>
        <v>0</v>
      </c>
      <c r="E36" s="37"/>
      <c r="F36" s="37"/>
      <c r="G36" s="37"/>
      <c r="H36" s="37"/>
      <c r="I36" s="37"/>
      <c r="J36" s="37"/>
      <c r="K36" s="37"/>
      <c r="L36" s="37"/>
      <c r="M36" s="203"/>
      <c r="N36" s="37"/>
      <c r="O36" s="37">
        <v>8</v>
      </c>
      <c r="P36" s="204" t="e">
        <f t="shared" si="32"/>
        <v>#DIV/0!</v>
      </c>
      <c r="Q36" s="37"/>
      <c r="R36" s="204" t="e">
        <f t="shared" si="33"/>
        <v>#DIV/0!</v>
      </c>
      <c r="S36" s="204" t="e">
        <f t="shared" ref="S36:Z36" si="36">E36*$R36</f>
        <v>#DIV/0!</v>
      </c>
      <c r="T36" s="204" t="e">
        <f t="shared" si="36"/>
        <v>#DIV/0!</v>
      </c>
      <c r="U36" s="204" t="e">
        <f t="shared" si="36"/>
        <v>#DIV/0!</v>
      </c>
      <c r="V36" s="205" t="e">
        <f t="shared" si="36"/>
        <v>#DIV/0!</v>
      </c>
      <c r="W36" s="204" t="e">
        <f t="shared" si="36"/>
        <v>#DIV/0!</v>
      </c>
      <c r="X36" s="204" t="e">
        <f t="shared" si="36"/>
        <v>#DIV/0!</v>
      </c>
      <c r="Y36" s="204" t="e">
        <f t="shared" si="36"/>
        <v>#DIV/0!</v>
      </c>
      <c r="Z36" s="204" t="e">
        <f t="shared" si="36"/>
        <v>#DIV/0!</v>
      </c>
      <c r="AA36" s="196" t="e">
        <f t="shared" si="3"/>
        <v>#DIV/0!</v>
      </c>
      <c r="AB36" s="101"/>
      <c r="AC36" s="128"/>
    </row>
    <row r="37" spans="1:29" ht="14.4" x14ac:dyDescent="0.3">
      <c r="A37" s="193"/>
      <c r="B37" s="201" t="str">
        <f>'1. BRIEFING'!B49</f>
        <v xml:space="preserve">INSTALAÇÃO DE PENDENTE </v>
      </c>
      <c r="C37" s="202" t="str">
        <f>'1. BRIEFING'!C46</f>
        <v>UN</v>
      </c>
      <c r="D37" s="207">
        <f>'1. BRIEFING'!D46</f>
        <v>1</v>
      </c>
      <c r="E37" s="37"/>
      <c r="F37" s="37"/>
      <c r="G37" s="37"/>
      <c r="H37" s="37"/>
      <c r="I37" s="37"/>
      <c r="J37" s="37"/>
      <c r="K37" s="37"/>
      <c r="L37" s="37"/>
      <c r="M37" s="203"/>
      <c r="N37" s="37"/>
      <c r="O37" s="37">
        <v>8</v>
      </c>
      <c r="P37" s="204" t="e">
        <f t="shared" si="32"/>
        <v>#DIV/0!</v>
      </c>
      <c r="Q37" s="37"/>
      <c r="R37" s="204" t="e">
        <f t="shared" si="33"/>
        <v>#DIV/0!</v>
      </c>
      <c r="S37" s="204" t="e">
        <f t="shared" ref="S37:Z37" si="37">E37*$R37</f>
        <v>#DIV/0!</v>
      </c>
      <c r="T37" s="204" t="e">
        <f t="shared" si="37"/>
        <v>#DIV/0!</v>
      </c>
      <c r="U37" s="204" t="e">
        <f t="shared" si="37"/>
        <v>#DIV/0!</v>
      </c>
      <c r="V37" s="205" t="e">
        <f t="shared" si="37"/>
        <v>#DIV/0!</v>
      </c>
      <c r="W37" s="204" t="e">
        <f t="shared" si="37"/>
        <v>#DIV/0!</v>
      </c>
      <c r="X37" s="204" t="e">
        <f t="shared" si="37"/>
        <v>#DIV/0!</v>
      </c>
      <c r="Y37" s="204" t="e">
        <f t="shared" si="37"/>
        <v>#DIV/0!</v>
      </c>
      <c r="Z37" s="204" t="e">
        <f t="shared" si="37"/>
        <v>#DIV/0!</v>
      </c>
      <c r="AA37" s="196" t="e">
        <f t="shared" si="3"/>
        <v>#DIV/0!</v>
      </c>
      <c r="AB37" s="101"/>
      <c r="AC37" s="128"/>
    </row>
    <row r="38" spans="1:29" ht="14.4" x14ac:dyDescent="0.3">
      <c r="A38" s="193"/>
      <c r="B38" s="198" t="str">
        <f>'1. BRIEFING'!B54</f>
        <v>SERVIÇO EM FORRO</v>
      </c>
      <c r="C38" s="199"/>
      <c r="D38" s="199"/>
      <c r="E38" s="199"/>
      <c r="F38" s="199"/>
      <c r="G38" s="199"/>
      <c r="H38" s="199"/>
      <c r="I38" s="199"/>
      <c r="J38" s="199"/>
      <c r="K38" s="199"/>
      <c r="L38" s="199"/>
      <c r="M38" s="199"/>
      <c r="N38" s="199"/>
      <c r="O38" s="199"/>
      <c r="P38" s="199"/>
      <c r="Q38" s="199"/>
      <c r="R38" s="199"/>
      <c r="S38" s="199"/>
      <c r="T38" s="199"/>
      <c r="U38" s="199"/>
      <c r="V38" s="199"/>
      <c r="W38" s="199"/>
      <c r="X38" s="199"/>
      <c r="Y38" s="199"/>
      <c r="Z38" s="199"/>
      <c r="AA38" s="196" t="e">
        <f t="shared" si="3"/>
        <v>#DIV/0!</v>
      </c>
      <c r="AB38" s="101"/>
      <c r="AC38" s="128"/>
    </row>
    <row r="39" spans="1:29" ht="14.4" x14ac:dyDescent="0.3">
      <c r="A39" s="193"/>
      <c r="B39" s="201" t="str">
        <f>'1. BRIEFING'!B55</f>
        <v>FORNECIMENTO E INSTALAÇÃO DE FORRO EM GESSO</v>
      </c>
      <c r="C39" s="202" t="str">
        <f>'1. BRIEFING'!C48</f>
        <v>UN</v>
      </c>
      <c r="D39" s="207">
        <f>'1. BRIEFING'!D48</f>
        <v>1</v>
      </c>
      <c r="E39" s="37"/>
      <c r="F39" s="37"/>
      <c r="G39" s="37"/>
      <c r="H39" s="37"/>
      <c r="I39" s="37"/>
      <c r="J39" s="37"/>
      <c r="K39" s="37"/>
      <c r="L39" s="37"/>
      <c r="M39" s="203"/>
      <c r="N39" s="37"/>
      <c r="O39" s="37">
        <v>8</v>
      </c>
      <c r="P39" s="204" t="e">
        <f t="shared" ref="P39:P42" si="38">ROUNDUP(AA39,0)</f>
        <v>#DIV/0!</v>
      </c>
      <c r="Q39" s="37"/>
      <c r="R39" s="204" t="e">
        <f t="shared" ref="R39:R42" si="39">P39/Q39</f>
        <v>#DIV/0!</v>
      </c>
      <c r="S39" s="204" t="e">
        <f t="shared" ref="S39:Z39" si="40">E39*$R39</f>
        <v>#DIV/0!</v>
      </c>
      <c r="T39" s="204" t="e">
        <f t="shared" si="40"/>
        <v>#DIV/0!</v>
      </c>
      <c r="U39" s="204" t="e">
        <f t="shared" si="40"/>
        <v>#DIV/0!</v>
      </c>
      <c r="V39" s="205" t="e">
        <f t="shared" si="40"/>
        <v>#DIV/0!</v>
      </c>
      <c r="W39" s="204" t="e">
        <f t="shared" si="40"/>
        <v>#DIV/0!</v>
      </c>
      <c r="X39" s="204" t="e">
        <f t="shared" si="40"/>
        <v>#DIV/0!</v>
      </c>
      <c r="Y39" s="204" t="e">
        <f t="shared" si="40"/>
        <v>#DIV/0!</v>
      </c>
      <c r="Z39" s="204" t="e">
        <f t="shared" si="40"/>
        <v>#DIV/0!</v>
      </c>
      <c r="AA39" s="196" t="e">
        <f t="shared" si="3"/>
        <v>#DIV/0!</v>
      </c>
      <c r="AB39" s="101"/>
      <c r="AC39" s="128"/>
    </row>
    <row r="40" spans="1:29" ht="14.4" x14ac:dyDescent="0.3">
      <c r="A40" s="193"/>
      <c r="B40" s="201" t="str">
        <f>'1. BRIEFING'!B56</f>
        <v>FORNECIMENTO E INSTALAÇÃO DE JUNTA EM DILATAÇÃO 3X3 CM</v>
      </c>
      <c r="C40" s="202" t="str">
        <f>'1. BRIEFING'!C49</f>
        <v>UN</v>
      </c>
      <c r="D40" s="207">
        <f>'1. BRIEFING'!D49</f>
        <v>1</v>
      </c>
      <c r="E40" s="37"/>
      <c r="F40" s="37"/>
      <c r="G40" s="37"/>
      <c r="H40" s="37"/>
      <c r="I40" s="37"/>
      <c r="J40" s="37"/>
      <c r="K40" s="37"/>
      <c r="L40" s="37"/>
      <c r="M40" s="203"/>
      <c r="N40" s="37"/>
      <c r="O40" s="37">
        <v>8</v>
      </c>
      <c r="P40" s="204" t="e">
        <f t="shared" si="38"/>
        <v>#DIV/0!</v>
      </c>
      <c r="Q40" s="37"/>
      <c r="R40" s="204" t="e">
        <f t="shared" si="39"/>
        <v>#DIV/0!</v>
      </c>
      <c r="S40" s="204" t="e">
        <f t="shared" ref="S40:Z40" si="41">E40*$R40</f>
        <v>#DIV/0!</v>
      </c>
      <c r="T40" s="204" t="e">
        <f t="shared" si="41"/>
        <v>#DIV/0!</v>
      </c>
      <c r="U40" s="204" t="e">
        <f t="shared" si="41"/>
        <v>#DIV/0!</v>
      </c>
      <c r="V40" s="205" t="e">
        <f t="shared" si="41"/>
        <v>#DIV/0!</v>
      </c>
      <c r="W40" s="204" t="e">
        <f t="shared" si="41"/>
        <v>#DIV/0!</v>
      </c>
      <c r="X40" s="204" t="e">
        <f t="shared" si="41"/>
        <v>#DIV/0!</v>
      </c>
      <c r="Y40" s="204" t="e">
        <f t="shared" si="41"/>
        <v>#DIV/0!</v>
      </c>
      <c r="Z40" s="204" t="e">
        <f t="shared" si="41"/>
        <v>#DIV/0!</v>
      </c>
      <c r="AA40" s="196" t="e">
        <f t="shared" si="3"/>
        <v>#DIV/0!</v>
      </c>
      <c r="AB40" s="101"/>
      <c r="AC40" s="128"/>
    </row>
    <row r="41" spans="1:29" ht="14.4" x14ac:dyDescent="0.3">
      <c r="A41" s="193"/>
      <c r="B41" s="201" t="str">
        <f>'1. BRIEFING'!B57</f>
        <v>FORNECIMENTO E INSTALAÇÃO DE CORTINEIRO</v>
      </c>
      <c r="C41" s="202" t="str">
        <f>'1. BRIEFING'!C50</f>
        <v>UN</v>
      </c>
      <c r="D41" s="207">
        <f>'1. BRIEFING'!D50</f>
        <v>1</v>
      </c>
      <c r="E41" s="37"/>
      <c r="F41" s="37"/>
      <c r="G41" s="37"/>
      <c r="H41" s="37"/>
      <c r="I41" s="37"/>
      <c r="J41" s="37"/>
      <c r="K41" s="37"/>
      <c r="L41" s="37"/>
      <c r="M41" s="203"/>
      <c r="N41" s="37"/>
      <c r="O41" s="37">
        <v>8</v>
      </c>
      <c r="P41" s="204" t="e">
        <f t="shared" si="38"/>
        <v>#DIV/0!</v>
      </c>
      <c r="Q41" s="37"/>
      <c r="R41" s="204" t="e">
        <f t="shared" si="39"/>
        <v>#DIV/0!</v>
      </c>
      <c r="S41" s="204" t="e">
        <f t="shared" ref="S41:Z41" si="42">E41*$R41</f>
        <v>#DIV/0!</v>
      </c>
      <c r="T41" s="204" t="e">
        <f t="shared" si="42"/>
        <v>#DIV/0!</v>
      </c>
      <c r="U41" s="204" t="e">
        <f t="shared" si="42"/>
        <v>#DIV/0!</v>
      </c>
      <c r="V41" s="205" t="e">
        <f t="shared" si="42"/>
        <v>#DIV/0!</v>
      </c>
      <c r="W41" s="204" t="e">
        <f t="shared" si="42"/>
        <v>#DIV/0!</v>
      </c>
      <c r="X41" s="204" t="e">
        <f t="shared" si="42"/>
        <v>#DIV/0!</v>
      </c>
      <c r="Y41" s="204" t="e">
        <f t="shared" si="42"/>
        <v>#DIV/0!</v>
      </c>
      <c r="Z41" s="204" t="e">
        <f t="shared" si="42"/>
        <v>#DIV/0!</v>
      </c>
      <c r="AA41" s="196" t="e">
        <f t="shared" si="3"/>
        <v>#DIV/0!</v>
      </c>
      <c r="AB41" s="101"/>
      <c r="AC41" s="128"/>
    </row>
    <row r="42" spans="1:29" ht="14.4" x14ac:dyDescent="0.3">
      <c r="A42" s="193"/>
      <c r="B42" s="201" t="str">
        <f>'1. BRIEFING'!B58</f>
        <v>FORNECIMENTO E INSTALAÇÃO DE SANCAS</v>
      </c>
      <c r="C42" s="202" t="str">
        <f>'1. BRIEFING'!C51</f>
        <v>UN</v>
      </c>
      <c r="D42" s="207">
        <f>'1. BRIEFING'!D51</f>
        <v>1</v>
      </c>
      <c r="E42" s="37"/>
      <c r="F42" s="37"/>
      <c r="G42" s="37"/>
      <c r="H42" s="37"/>
      <c r="I42" s="37"/>
      <c r="J42" s="37"/>
      <c r="K42" s="37"/>
      <c r="L42" s="37"/>
      <c r="M42" s="203"/>
      <c r="N42" s="37"/>
      <c r="O42" s="37">
        <v>8</v>
      </c>
      <c r="P42" s="204" t="e">
        <f t="shared" si="38"/>
        <v>#DIV/0!</v>
      </c>
      <c r="Q42" s="37"/>
      <c r="R42" s="204" t="e">
        <f t="shared" si="39"/>
        <v>#DIV/0!</v>
      </c>
      <c r="S42" s="204" t="e">
        <f t="shared" ref="S42:Z42" si="43">E42*$R42</f>
        <v>#DIV/0!</v>
      </c>
      <c r="T42" s="204" t="e">
        <f t="shared" si="43"/>
        <v>#DIV/0!</v>
      </c>
      <c r="U42" s="204" t="e">
        <f t="shared" si="43"/>
        <v>#DIV/0!</v>
      </c>
      <c r="V42" s="205" t="e">
        <f t="shared" si="43"/>
        <v>#DIV/0!</v>
      </c>
      <c r="W42" s="204" t="e">
        <f t="shared" si="43"/>
        <v>#DIV/0!</v>
      </c>
      <c r="X42" s="204" t="e">
        <f t="shared" si="43"/>
        <v>#DIV/0!</v>
      </c>
      <c r="Y42" s="204" t="e">
        <f t="shared" si="43"/>
        <v>#DIV/0!</v>
      </c>
      <c r="Z42" s="204" t="e">
        <f t="shared" si="43"/>
        <v>#DIV/0!</v>
      </c>
      <c r="AA42" s="196" t="e">
        <f t="shared" si="3"/>
        <v>#DIV/0!</v>
      </c>
      <c r="AB42" s="101"/>
      <c r="AC42" s="128"/>
    </row>
    <row r="43" spans="1:29" ht="14.4" x14ac:dyDescent="0.3">
      <c r="A43" s="193"/>
      <c r="B43" s="198" t="str">
        <f>'1. BRIEFING'!B59</f>
        <v xml:space="preserve">SERVIÇO EM ESQUADRIA DE MADEIRA </v>
      </c>
      <c r="C43" s="199"/>
      <c r="D43" s="199"/>
      <c r="E43" s="199"/>
      <c r="F43" s="199"/>
      <c r="G43" s="199"/>
      <c r="H43" s="199"/>
      <c r="I43" s="199"/>
      <c r="J43" s="199"/>
      <c r="K43" s="199"/>
      <c r="L43" s="199"/>
      <c r="M43" s="199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199"/>
      <c r="AA43" s="196" t="e">
        <f t="shared" si="3"/>
        <v>#DIV/0!</v>
      </c>
      <c r="AB43" s="101"/>
      <c r="AC43" s="128"/>
    </row>
    <row r="44" spans="1:29" ht="14.4" x14ac:dyDescent="0.3">
      <c r="A44" s="193"/>
      <c r="B44" s="201" t="str">
        <f>'1. BRIEFING'!B60</f>
        <v>FORNECIMENTO E INSTALAÇÃO DE PORTA EM MADEIRA 0,60 x 2,10 m l COMPLETA</v>
      </c>
      <c r="C44" s="202" t="str">
        <f>'1. BRIEFING'!C53</f>
        <v>UN</v>
      </c>
      <c r="D44" s="207">
        <f>'1. BRIEFING'!D53</f>
        <v>1</v>
      </c>
      <c r="E44" s="37"/>
      <c r="F44" s="37"/>
      <c r="G44" s="37"/>
      <c r="H44" s="37"/>
      <c r="I44" s="37"/>
      <c r="J44" s="37"/>
      <c r="K44" s="37"/>
      <c r="L44" s="37"/>
      <c r="M44" s="203"/>
      <c r="N44" s="37"/>
      <c r="O44" s="37">
        <v>8</v>
      </c>
      <c r="P44" s="204" t="e">
        <f t="shared" ref="P44:P49" si="44">ROUNDUP(AA44,0)</f>
        <v>#DIV/0!</v>
      </c>
      <c r="Q44" s="37"/>
      <c r="R44" s="204" t="e">
        <f t="shared" ref="R44:R49" si="45">P44/Q44</f>
        <v>#DIV/0!</v>
      </c>
      <c r="S44" s="204" t="e">
        <f t="shared" ref="S44:Z44" si="46">E44*$R44</f>
        <v>#DIV/0!</v>
      </c>
      <c r="T44" s="204" t="e">
        <f t="shared" si="46"/>
        <v>#DIV/0!</v>
      </c>
      <c r="U44" s="204" t="e">
        <f t="shared" si="46"/>
        <v>#DIV/0!</v>
      </c>
      <c r="V44" s="205" t="e">
        <f t="shared" si="46"/>
        <v>#DIV/0!</v>
      </c>
      <c r="W44" s="204" t="e">
        <f t="shared" si="46"/>
        <v>#DIV/0!</v>
      </c>
      <c r="X44" s="204" t="e">
        <f t="shared" si="46"/>
        <v>#DIV/0!</v>
      </c>
      <c r="Y44" s="204" t="e">
        <f t="shared" si="46"/>
        <v>#DIV/0!</v>
      </c>
      <c r="Z44" s="204" t="e">
        <f t="shared" si="46"/>
        <v>#DIV/0!</v>
      </c>
      <c r="AA44" s="196" t="e">
        <f t="shared" si="3"/>
        <v>#DIV/0!</v>
      </c>
      <c r="AB44" s="101"/>
      <c r="AC44" s="128"/>
    </row>
    <row r="45" spans="1:29" ht="14.4" x14ac:dyDescent="0.3">
      <c r="A45" s="193"/>
      <c r="B45" s="201" t="str">
        <f>'1. BRIEFING'!B61</f>
        <v>FORNECIMENTO E INSTALAÇÃO DE PORTA EM MADEIRA 0,70 X 2,10 M l COMPLETA</v>
      </c>
      <c r="C45" s="202">
        <f>'1. BRIEFING'!C54</f>
        <v>0</v>
      </c>
      <c r="D45" s="202">
        <f>'1. BRIEFING'!D54</f>
        <v>0</v>
      </c>
      <c r="E45" s="37"/>
      <c r="F45" s="37"/>
      <c r="G45" s="37"/>
      <c r="H45" s="37"/>
      <c r="I45" s="37"/>
      <c r="J45" s="37"/>
      <c r="K45" s="37"/>
      <c r="L45" s="37"/>
      <c r="M45" s="203"/>
      <c r="N45" s="37"/>
      <c r="O45" s="37">
        <v>8</v>
      </c>
      <c r="P45" s="204" t="e">
        <f t="shared" si="44"/>
        <v>#DIV/0!</v>
      </c>
      <c r="Q45" s="37"/>
      <c r="R45" s="204" t="e">
        <f t="shared" si="45"/>
        <v>#DIV/0!</v>
      </c>
      <c r="S45" s="204" t="e">
        <f t="shared" ref="S45:Z45" si="47">E45*$R45</f>
        <v>#DIV/0!</v>
      </c>
      <c r="T45" s="204" t="e">
        <f t="shared" si="47"/>
        <v>#DIV/0!</v>
      </c>
      <c r="U45" s="204" t="e">
        <f t="shared" si="47"/>
        <v>#DIV/0!</v>
      </c>
      <c r="V45" s="205" t="e">
        <f t="shared" si="47"/>
        <v>#DIV/0!</v>
      </c>
      <c r="W45" s="204" t="e">
        <f t="shared" si="47"/>
        <v>#DIV/0!</v>
      </c>
      <c r="X45" s="204" t="e">
        <f t="shared" si="47"/>
        <v>#DIV/0!</v>
      </c>
      <c r="Y45" s="204" t="e">
        <f t="shared" si="47"/>
        <v>#DIV/0!</v>
      </c>
      <c r="Z45" s="204" t="e">
        <f t="shared" si="47"/>
        <v>#DIV/0!</v>
      </c>
      <c r="AA45" s="196" t="e">
        <f t="shared" si="3"/>
        <v>#DIV/0!</v>
      </c>
      <c r="AB45" s="101"/>
      <c r="AC45" s="128"/>
    </row>
    <row r="46" spans="1:29" ht="14.4" x14ac:dyDescent="0.3">
      <c r="A46" s="193"/>
      <c r="B46" s="201" t="str">
        <f>'1. BRIEFING'!B62</f>
        <v>FORNECIMENTO E INSTALAÇÃO DE PORTA EM MADEIRA 0,80 X 2,10 M l COMPLETA</v>
      </c>
      <c r="C46" s="202" t="str">
        <f>'1. BRIEFING'!C55</f>
        <v>M²</v>
      </c>
      <c r="D46" s="207">
        <f>'1. BRIEFING'!D55</f>
        <v>1</v>
      </c>
      <c r="E46" s="37"/>
      <c r="F46" s="37"/>
      <c r="G46" s="37"/>
      <c r="H46" s="37"/>
      <c r="I46" s="37"/>
      <c r="J46" s="37"/>
      <c r="K46" s="37"/>
      <c r="L46" s="37"/>
      <c r="M46" s="203"/>
      <c r="N46" s="37"/>
      <c r="O46" s="37">
        <v>8</v>
      </c>
      <c r="P46" s="204" t="e">
        <f t="shared" si="44"/>
        <v>#DIV/0!</v>
      </c>
      <c r="Q46" s="37"/>
      <c r="R46" s="204" t="e">
        <f t="shared" si="45"/>
        <v>#DIV/0!</v>
      </c>
      <c r="S46" s="204" t="e">
        <f t="shared" ref="S46:Z46" si="48">E46*$R46</f>
        <v>#DIV/0!</v>
      </c>
      <c r="T46" s="204" t="e">
        <f t="shared" si="48"/>
        <v>#DIV/0!</v>
      </c>
      <c r="U46" s="204" t="e">
        <f t="shared" si="48"/>
        <v>#DIV/0!</v>
      </c>
      <c r="V46" s="205" t="e">
        <f t="shared" si="48"/>
        <v>#DIV/0!</v>
      </c>
      <c r="W46" s="204" t="e">
        <f t="shared" si="48"/>
        <v>#DIV/0!</v>
      </c>
      <c r="X46" s="204" t="e">
        <f t="shared" si="48"/>
        <v>#DIV/0!</v>
      </c>
      <c r="Y46" s="204" t="e">
        <f t="shared" si="48"/>
        <v>#DIV/0!</v>
      </c>
      <c r="Z46" s="204" t="e">
        <f t="shared" si="48"/>
        <v>#DIV/0!</v>
      </c>
      <c r="AA46" s="196" t="e">
        <f t="shared" si="3"/>
        <v>#DIV/0!</v>
      </c>
      <c r="AB46" s="101"/>
      <c r="AC46" s="128"/>
    </row>
    <row r="47" spans="1:29" ht="14.4" x14ac:dyDescent="0.3">
      <c r="A47" s="193"/>
      <c r="B47" s="201" t="str">
        <f>'1. BRIEFING'!B63</f>
        <v>FORNECIMENTO E INSTALAÇÃO DE PORTA EM MADEIRA 0,90 X 2,10 M l COMPLETA</v>
      </c>
      <c r="C47" s="202" t="str">
        <f>'1. BRIEFING'!C56</f>
        <v xml:space="preserve">M </v>
      </c>
      <c r="D47" s="207">
        <f>'1. BRIEFING'!D56</f>
        <v>1</v>
      </c>
      <c r="E47" s="37"/>
      <c r="F47" s="37"/>
      <c r="G47" s="37"/>
      <c r="H47" s="37"/>
      <c r="I47" s="37"/>
      <c r="J47" s="37"/>
      <c r="K47" s="37"/>
      <c r="L47" s="37"/>
      <c r="M47" s="203"/>
      <c r="N47" s="37"/>
      <c r="O47" s="37">
        <v>8</v>
      </c>
      <c r="P47" s="204" t="e">
        <f t="shared" si="44"/>
        <v>#DIV/0!</v>
      </c>
      <c r="Q47" s="37"/>
      <c r="R47" s="204" t="e">
        <f t="shared" si="45"/>
        <v>#DIV/0!</v>
      </c>
      <c r="S47" s="204" t="e">
        <f t="shared" ref="S47:Z47" si="49">E47*$R47</f>
        <v>#DIV/0!</v>
      </c>
      <c r="T47" s="204" t="e">
        <f t="shared" si="49"/>
        <v>#DIV/0!</v>
      </c>
      <c r="U47" s="204" t="e">
        <f t="shared" si="49"/>
        <v>#DIV/0!</v>
      </c>
      <c r="V47" s="205" t="e">
        <f t="shared" si="49"/>
        <v>#DIV/0!</v>
      </c>
      <c r="W47" s="204" t="e">
        <f t="shared" si="49"/>
        <v>#DIV/0!</v>
      </c>
      <c r="X47" s="204" t="e">
        <f t="shared" si="49"/>
        <v>#DIV/0!</v>
      </c>
      <c r="Y47" s="204" t="e">
        <f t="shared" si="49"/>
        <v>#DIV/0!</v>
      </c>
      <c r="Z47" s="204" t="e">
        <f t="shared" si="49"/>
        <v>#DIV/0!</v>
      </c>
      <c r="AA47" s="196" t="e">
        <f t="shared" si="3"/>
        <v>#DIV/0!</v>
      </c>
      <c r="AB47" s="101"/>
      <c r="AC47" s="128"/>
    </row>
    <row r="48" spans="1:29" ht="14.4" x14ac:dyDescent="0.3">
      <c r="A48" s="193"/>
      <c r="B48" s="201" t="str">
        <f>'1. BRIEFING'!B64</f>
        <v>FORNECIMENTO E INSTALAÇÃO DE PORTA EM MADEIRA 0,90 X 2,10 M l COMPLETA</v>
      </c>
      <c r="C48" s="202" t="str">
        <f>'1. BRIEFING'!C57</f>
        <v>M</v>
      </c>
      <c r="D48" s="207">
        <f>'1. BRIEFING'!D57</f>
        <v>1</v>
      </c>
      <c r="E48" s="37"/>
      <c r="F48" s="37"/>
      <c r="G48" s="37"/>
      <c r="H48" s="37"/>
      <c r="I48" s="37"/>
      <c r="J48" s="37"/>
      <c r="K48" s="37"/>
      <c r="L48" s="37"/>
      <c r="M48" s="203"/>
      <c r="N48" s="37"/>
      <c r="O48" s="37">
        <v>8</v>
      </c>
      <c r="P48" s="204" t="e">
        <f t="shared" si="44"/>
        <v>#DIV/0!</v>
      </c>
      <c r="Q48" s="37"/>
      <c r="R48" s="204" t="e">
        <f t="shared" si="45"/>
        <v>#DIV/0!</v>
      </c>
      <c r="S48" s="204" t="e">
        <f t="shared" ref="S48:Z48" si="50">E48*$R48</f>
        <v>#DIV/0!</v>
      </c>
      <c r="T48" s="204" t="e">
        <f t="shared" si="50"/>
        <v>#DIV/0!</v>
      </c>
      <c r="U48" s="204" t="e">
        <f t="shared" si="50"/>
        <v>#DIV/0!</v>
      </c>
      <c r="V48" s="205" t="e">
        <f t="shared" si="50"/>
        <v>#DIV/0!</v>
      </c>
      <c r="W48" s="204" t="e">
        <f t="shared" si="50"/>
        <v>#DIV/0!</v>
      </c>
      <c r="X48" s="204" t="e">
        <f t="shared" si="50"/>
        <v>#DIV/0!</v>
      </c>
      <c r="Y48" s="204" t="e">
        <f t="shared" si="50"/>
        <v>#DIV/0!</v>
      </c>
      <c r="Z48" s="204" t="e">
        <f t="shared" si="50"/>
        <v>#DIV/0!</v>
      </c>
      <c r="AA48" s="196" t="e">
        <f t="shared" si="3"/>
        <v>#DIV/0!</v>
      </c>
      <c r="AB48" s="101"/>
      <c r="AC48" s="128"/>
    </row>
    <row r="49" spans="1:29" ht="14.4" x14ac:dyDescent="0.3">
      <c r="A49" s="193"/>
      <c r="B49" s="201" t="str">
        <f>'1. BRIEFING'!B65</f>
        <v>FORNECIMENTO E INSTALAÇÃO DE PORTA EM MADEIRA 0,90 X 2,10 M l COMPLETA</v>
      </c>
      <c r="C49" s="202" t="str">
        <f>'1. BRIEFING'!C58</f>
        <v>M</v>
      </c>
      <c r="D49" s="207">
        <f>'1. BRIEFING'!D58</f>
        <v>1</v>
      </c>
      <c r="E49" s="37"/>
      <c r="F49" s="37"/>
      <c r="G49" s="37"/>
      <c r="H49" s="37"/>
      <c r="I49" s="37"/>
      <c r="J49" s="37"/>
      <c r="K49" s="37"/>
      <c r="L49" s="37"/>
      <c r="M49" s="203"/>
      <c r="N49" s="37"/>
      <c r="O49" s="37">
        <v>8</v>
      </c>
      <c r="P49" s="204" t="e">
        <f t="shared" si="44"/>
        <v>#DIV/0!</v>
      </c>
      <c r="Q49" s="37"/>
      <c r="R49" s="204" t="e">
        <f t="shared" si="45"/>
        <v>#DIV/0!</v>
      </c>
      <c r="S49" s="204" t="e">
        <f t="shared" ref="S49:Z49" si="51">E49*$R49</f>
        <v>#DIV/0!</v>
      </c>
      <c r="T49" s="204" t="e">
        <f t="shared" si="51"/>
        <v>#DIV/0!</v>
      </c>
      <c r="U49" s="204" t="e">
        <f t="shared" si="51"/>
        <v>#DIV/0!</v>
      </c>
      <c r="V49" s="205" t="e">
        <f t="shared" si="51"/>
        <v>#DIV/0!</v>
      </c>
      <c r="W49" s="204" t="e">
        <f t="shared" si="51"/>
        <v>#DIV/0!</v>
      </c>
      <c r="X49" s="204" t="e">
        <f t="shared" si="51"/>
        <v>#DIV/0!</v>
      </c>
      <c r="Y49" s="204" t="e">
        <f t="shared" si="51"/>
        <v>#DIV/0!</v>
      </c>
      <c r="Z49" s="204" t="e">
        <f t="shared" si="51"/>
        <v>#DIV/0!</v>
      </c>
      <c r="AA49" s="196" t="e">
        <f t="shared" si="3"/>
        <v>#DIV/0!</v>
      </c>
      <c r="AB49" s="101"/>
      <c r="AC49" s="128"/>
    </row>
    <row r="50" spans="1:29" ht="14.4" x14ac:dyDescent="0.3">
      <c r="A50" s="193"/>
      <c r="B50" s="198" t="str">
        <f>'1. BRIEFING'!B66</f>
        <v>SERVIÇO DE MARMORARIA</v>
      </c>
      <c r="C50" s="199"/>
      <c r="D50" s="199"/>
      <c r="E50" s="199"/>
      <c r="F50" s="199"/>
      <c r="G50" s="199"/>
      <c r="H50" s="199"/>
      <c r="I50" s="199"/>
      <c r="J50" s="199"/>
      <c r="K50" s="199"/>
      <c r="L50" s="199"/>
      <c r="M50" s="199"/>
      <c r="N50" s="199"/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99"/>
      <c r="Z50" s="199"/>
      <c r="AA50" s="196" t="e">
        <f t="shared" si="3"/>
        <v>#DIV/0!</v>
      </c>
      <c r="AB50" s="101"/>
      <c r="AC50" s="128"/>
    </row>
    <row r="51" spans="1:29" ht="14.4" x14ac:dyDescent="0.3">
      <c r="A51" s="193"/>
      <c r="B51" s="201" t="str">
        <f>'1. BRIEFING'!B67</f>
        <v>FORNECIMENTO E INSTALAÇÃO DE BANCADA EM GRANITO</v>
      </c>
      <c r="C51" s="202" t="str">
        <f>'1. BRIEFING'!C60</f>
        <v>UN</v>
      </c>
      <c r="D51" s="207">
        <f>'1. BRIEFING'!D60</f>
        <v>1</v>
      </c>
      <c r="E51" s="37"/>
      <c r="F51" s="37"/>
      <c r="G51" s="37"/>
      <c r="H51" s="37"/>
      <c r="I51" s="37"/>
      <c r="J51" s="37"/>
      <c r="K51" s="37"/>
      <c r="L51" s="37"/>
      <c r="M51" s="203"/>
      <c r="N51" s="37"/>
      <c r="O51" s="37">
        <v>8</v>
      </c>
      <c r="P51" s="204" t="e">
        <f t="shared" ref="P51:P54" si="52">ROUNDUP(AA51,0)</f>
        <v>#DIV/0!</v>
      </c>
      <c r="Q51" s="37"/>
      <c r="R51" s="204" t="e">
        <f t="shared" ref="R51:R54" si="53">P51/Q51</f>
        <v>#DIV/0!</v>
      </c>
      <c r="S51" s="204" t="e">
        <f t="shared" ref="S51:Z51" si="54">E51*$R51</f>
        <v>#DIV/0!</v>
      </c>
      <c r="T51" s="204" t="e">
        <f t="shared" si="54"/>
        <v>#DIV/0!</v>
      </c>
      <c r="U51" s="204" t="e">
        <f t="shared" si="54"/>
        <v>#DIV/0!</v>
      </c>
      <c r="V51" s="205" t="e">
        <f t="shared" si="54"/>
        <v>#DIV/0!</v>
      </c>
      <c r="W51" s="204" t="e">
        <f t="shared" si="54"/>
        <v>#DIV/0!</v>
      </c>
      <c r="X51" s="204" t="e">
        <f t="shared" si="54"/>
        <v>#DIV/0!</v>
      </c>
      <c r="Y51" s="204" t="e">
        <f t="shared" si="54"/>
        <v>#DIV/0!</v>
      </c>
      <c r="Z51" s="204" t="e">
        <f t="shared" si="54"/>
        <v>#DIV/0!</v>
      </c>
      <c r="AA51" s="196" t="e">
        <f t="shared" si="3"/>
        <v>#DIV/0!</v>
      </c>
      <c r="AB51" s="101"/>
      <c r="AC51" s="128"/>
    </row>
    <row r="52" spans="1:29" ht="14.4" x14ac:dyDescent="0.3">
      <c r="A52" s="193"/>
      <c r="B52" s="201" t="str">
        <f>'1. BRIEFING'!B68</f>
        <v>FORNECIMENTO E INSTALAÇÃO DE NICHO EM GRANITO</v>
      </c>
      <c r="C52" s="202" t="str">
        <f>'1. BRIEFING'!C61</f>
        <v>UN</v>
      </c>
      <c r="D52" s="207">
        <f>'1. BRIEFING'!D61</f>
        <v>1</v>
      </c>
      <c r="E52" s="37"/>
      <c r="F52" s="37"/>
      <c r="G52" s="37"/>
      <c r="H52" s="37"/>
      <c r="I52" s="37"/>
      <c r="J52" s="37"/>
      <c r="K52" s="37"/>
      <c r="L52" s="37"/>
      <c r="M52" s="203"/>
      <c r="N52" s="37"/>
      <c r="O52" s="37">
        <v>8</v>
      </c>
      <c r="P52" s="204" t="e">
        <f t="shared" si="52"/>
        <v>#DIV/0!</v>
      </c>
      <c r="Q52" s="37"/>
      <c r="R52" s="204" t="e">
        <f t="shared" si="53"/>
        <v>#DIV/0!</v>
      </c>
      <c r="S52" s="204" t="e">
        <f t="shared" ref="S52:Z52" si="55">E52*$R52</f>
        <v>#DIV/0!</v>
      </c>
      <c r="T52" s="204" t="e">
        <f t="shared" si="55"/>
        <v>#DIV/0!</v>
      </c>
      <c r="U52" s="204" t="e">
        <f t="shared" si="55"/>
        <v>#DIV/0!</v>
      </c>
      <c r="V52" s="205" t="e">
        <f t="shared" si="55"/>
        <v>#DIV/0!</v>
      </c>
      <c r="W52" s="204" t="e">
        <f t="shared" si="55"/>
        <v>#DIV/0!</v>
      </c>
      <c r="X52" s="204" t="e">
        <f t="shared" si="55"/>
        <v>#DIV/0!</v>
      </c>
      <c r="Y52" s="204" t="e">
        <f t="shared" si="55"/>
        <v>#DIV/0!</v>
      </c>
      <c r="Z52" s="204" t="e">
        <f t="shared" si="55"/>
        <v>#DIV/0!</v>
      </c>
      <c r="AA52" s="196" t="e">
        <f t="shared" si="3"/>
        <v>#DIV/0!</v>
      </c>
      <c r="AB52" s="101"/>
      <c r="AC52" s="128"/>
    </row>
    <row r="53" spans="1:29" ht="14.4" x14ac:dyDescent="0.3">
      <c r="A53" s="193"/>
      <c r="B53" s="201" t="str">
        <f>'1. BRIEFING'!B69</f>
        <v>FORNECIMENTO E INSTALAÇÃO DE DIVBOX EM GRANITO</v>
      </c>
      <c r="C53" s="202" t="str">
        <f>'1. BRIEFING'!C62</f>
        <v>UN</v>
      </c>
      <c r="D53" s="207">
        <f>'1. BRIEFING'!D62</f>
        <v>1</v>
      </c>
      <c r="E53" s="37"/>
      <c r="F53" s="37"/>
      <c r="G53" s="37"/>
      <c r="H53" s="37"/>
      <c r="I53" s="37"/>
      <c r="J53" s="37"/>
      <c r="K53" s="37"/>
      <c r="L53" s="37"/>
      <c r="M53" s="203"/>
      <c r="N53" s="37"/>
      <c r="O53" s="37">
        <v>8</v>
      </c>
      <c r="P53" s="204" t="e">
        <f t="shared" si="52"/>
        <v>#DIV/0!</v>
      </c>
      <c r="Q53" s="37"/>
      <c r="R53" s="204" t="e">
        <f t="shared" si="53"/>
        <v>#DIV/0!</v>
      </c>
      <c r="S53" s="204" t="e">
        <f t="shared" ref="S53:Z53" si="56">E53*$R53</f>
        <v>#DIV/0!</v>
      </c>
      <c r="T53" s="204" t="e">
        <f t="shared" si="56"/>
        <v>#DIV/0!</v>
      </c>
      <c r="U53" s="204" t="e">
        <f t="shared" si="56"/>
        <v>#DIV/0!</v>
      </c>
      <c r="V53" s="205" t="e">
        <f t="shared" si="56"/>
        <v>#DIV/0!</v>
      </c>
      <c r="W53" s="204" t="e">
        <f t="shared" si="56"/>
        <v>#DIV/0!</v>
      </c>
      <c r="X53" s="204" t="e">
        <f t="shared" si="56"/>
        <v>#DIV/0!</v>
      </c>
      <c r="Y53" s="204" t="e">
        <f t="shared" si="56"/>
        <v>#DIV/0!</v>
      </c>
      <c r="Z53" s="204" t="e">
        <f t="shared" si="56"/>
        <v>#DIV/0!</v>
      </c>
      <c r="AA53" s="196" t="e">
        <f t="shared" si="3"/>
        <v>#DIV/0!</v>
      </c>
      <c r="AB53" s="101"/>
      <c r="AC53" s="128"/>
    </row>
    <row r="54" spans="1:29" ht="14.4" x14ac:dyDescent="0.3">
      <c r="A54" s="193"/>
      <c r="B54" s="201" t="str">
        <f>'1. BRIEFING'!B70</f>
        <v>FORNECIMENTO E INSTALAÇÃO DE NICHO EM GRANITO</v>
      </c>
      <c r="C54" s="202" t="str">
        <f>'1. BRIEFING'!C63</f>
        <v>UN</v>
      </c>
      <c r="D54" s="207">
        <f>'1. BRIEFING'!D63</f>
        <v>1</v>
      </c>
      <c r="E54" s="37"/>
      <c r="F54" s="37"/>
      <c r="G54" s="37"/>
      <c r="H54" s="37"/>
      <c r="I54" s="37"/>
      <c r="J54" s="37"/>
      <c r="K54" s="37"/>
      <c r="L54" s="37"/>
      <c r="M54" s="203"/>
      <c r="N54" s="37"/>
      <c r="O54" s="37">
        <v>8</v>
      </c>
      <c r="P54" s="204" t="e">
        <f t="shared" si="52"/>
        <v>#DIV/0!</v>
      </c>
      <c r="Q54" s="37"/>
      <c r="R54" s="204" t="e">
        <f t="shared" si="53"/>
        <v>#DIV/0!</v>
      </c>
      <c r="S54" s="204" t="e">
        <f t="shared" ref="S54:Z54" si="57">E54*$R54</f>
        <v>#DIV/0!</v>
      </c>
      <c r="T54" s="204" t="e">
        <f t="shared" si="57"/>
        <v>#DIV/0!</v>
      </c>
      <c r="U54" s="204" t="e">
        <f t="shared" si="57"/>
        <v>#DIV/0!</v>
      </c>
      <c r="V54" s="205" t="e">
        <f t="shared" si="57"/>
        <v>#DIV/0!</v>
      </c>
      <c r="W54" s="204" t="e">
        <f t="shared" si="57"/>
        <v>#DIV/0!</v>
      </c>
      <c r="X54" s="204" t="e">
        <f t="shared" si="57"/>
        <v>#DIV/0!</v>
      </c>
      <c r="Y54" s="204" t="e">
        <f t="shared" si="57"/>
        <v>#DIV/0!</v>
      </c>
      <c r="Z54" s="204" t="e">
        <f t="shared" si="57"/>
        <v>#DIV/0!</v>
      </c>
      <c r="AA54" s="196" t="e">
        <f t="shared" si="3"/>
        <v>#DIV/0!</v>
      </c>
      <c r="AB54" s="101"/>
      <c r="AC54" s="128"/>
    </row>
    <row r="55" spans="1:29" ht="14.4" x14ac:dyDescent="0.3">
      <c r="A55" s="193"/>
      <c r="B55" s="198" t="str">
        <f>'1. BRIEFING'!B71</f>
        <v>REVESTIMENTO EM ARGAMASSA</v>
      </c>
      <c r="C55" s="199"/>
      <c r="D55" s="199"/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  <c r="AA55" s="196" t="e">
        <f t="shared" si="3"/>
        <v>#DIV/0!</v>
      </c>
      <c r="AB55" s="101"/>
      <c r="AC55" s="128"/>
    </row>
    <row r="56" spans="1:29" ht="14.4" x14ac:dyDescent="0.3">
      <c r="A56" s="193"/>
      <c r="B56" s="201" t="str">
        <f>'1. BRIEFING'!B72</f>
        <v>APLICAÇÃO DE CHAPISCO E REBOCO EM PAREDE DE ALVENARIA NOVA</v>
      </c>
      <c r="C56" s="202" t="str">
        <f>'1. BRIEFING'!C65</f>
        <v>UN</v>
      </c>
      <c r="D56" s="207">
        <f>'1. BRIEFING'!D65</f>
        <v>1</v>
      </c>
      <c r="E56" s="37"/>
      <c r="F56" s="37"/>
      <c r="G56" s="37"/>
      <c r="H56" s="37"/>
      <c r="I56" s="37"/>
      <c r="J56" s="37"/>
      <c r="K56" s="37"/>
      <c r="L56" s="37"/>
      <c r="M56" s="203"/>
      <c r="N56" s="37"/>
      <c r="O56" s="37">
        <v>8</v>
      </c>
      <c r="P56" s="204" t="e">
        <f t="shared" ref="P56:P58" si="58">ROUNDUP(AA56,0)</f>
        <v>#DIV/0!</v>
      </c>
      <c r="Q56" s="37"/>
      <c r="R56" s="204" t="e">
        <f t="shared" ref="R56:R58" si="59">P56/Q56</f>
        <v>#DIV/0!</v>
      </c>
      <c r="S56" s="204" t="e">
        <f t="shared" ref="S56:Z56" si="60">E56*$R56</f>
        <v>#DIV/0!</v>
      </c>
      <c r="T56" s="204" t="e">
        <f t="shared" si="60"/>
        <v>#DIV/0!</v>
      </c>
      <c r="U56" s="204" t="e">
        <f t="shared" si="60"/>
        <v>#DIV/0!</v>
      </c>
      <c r="V56" s="205" t="e">
        <f t="shared" si="60"/>
        <v>#DIV/0!</v>
      </c>
      <c r="W56" s="204" t="e">
        <f t="shared" si="60"/>
        <v>#DIV/0!</v>
      </c>
      <c r="X56" s="204" t="e">
        <f t="shared" si="60"/>
        <v>#DIV/0!</v>
      </c>
      <c r="Y56" s="204" t="e">
        <f t="shared" si="60"/>
        <v>#DIV/0!</v>
      </c>
      <c r="Z56" s="204" t="e">
        <f t="shared" si="60"/>
        <v>#DIV/0!</v>
      </c>
      <c r="AA56" s="196" t="e">
        <f t="shared" si="3"/>
        <v>#DIV/0!</v>
      </c>
      <c r="AB56" s="101"/>
      <c r="AC56" s="128"/>
    </row>
    <row r="57" spans="1:29" ht="14.4" x14ac:dyDescent="0.3">
      <c r="A57" s="193"/>
      <c r="B57" s="201" t="str">
        <f>'1. BRIEFING'!B73</f>
        <v>REGULARIZAÇÃO COM REBOCO FINO PARA RECEBIMENTO DE REVESTIMENTO NOVO</v>
      </c>
      <c r="C57" s="202">
        <f>'1. BRIEFING'!C66</f>
        <v>0</v>
      </c>
      <c r="D57" s="202">
        <f>'1. BRIEFING'!D66</f>
        <v>0</v>
      </c>
      <c r="E57" s="37"/>
      <c r="F57" s="37"/>
      <c r="G57" s="37"/>
      <c r="H57" s="37"/>
      <c r="I57" s="37"/>
      <c r="J57" s="37"/>
      <c r="K57" s="37"/>
      <c r="L57" s="37"/>
      <c r="M57" s="203"/>
      <c r="N57" s="37"/>
      <c r="O57" s="37">
        <v>8</v>
      </c>
      <c r="P57" s="204" t="e">
        <f t="shared" si="58"/>
        <v>#DIV/0!</v>
      </c>
      <c r="Q57" s="37"/>
      <c r="R57" s="204" t="e">
        <f t="shared" si="59"/>
        <v>#DIV/0!</v>
      </c>
      <c r="S57" s="204" t="e">
        <f t="shared" ref="S57:Z57" si="61">E57*$R57</f>
        <v>#DIV/0!</v>
      </c>
      <c r="T57" s="204" t="e">
        <f t="shared" si="61"/>
        <v>#DIV/0!</v>
      </c>
      <c r="U57" s="204" t="e">
        <f t="shared" si="61"/>
        <v>#DIV/0!</v>
      </c>
      <c r="V57" s="205" t="e">
        <f t="shared" si="61"/>
        <v>#DIV/0!</v>
      </c>
      <c r="W57" s="204" t="e">
        <f t="shared" si="61"/>
        <v>#DIV/0!</v>
      </c>
      <c r="X57" s="204" t="e">
        <f t="shared" si="61"/>
        <v>#DIV/0!</v>
      </c>
      <c r="Y57" s="204" t="e">
        <f t="shared" si="61"/>
        <v>#DIV/0!</v>
      </c>
      <c r="Z57" s="204" t="e">
        <f t="shared" si="61"/>
        <v>#DIV/0!</v>
      </c>
      <c r="AA57" s="196" t="e">
        <f t="shared" si="3"/>
        <v>#DIV/0!</v>
      </c>
      <c r="AB57" s="101"/>
      <c r="AC57" s="128"/>
    </row>
    <row r="58" spans="1:29" ht="14.4" x14ac:dyDescent="0.3">
      <c r="A58" s="193"/>
      <c r="B58" s="201" t="str">
        <f>'1. BRIEFING'!B74</f>
        <v>REGULARIZAÇÃO DE PISO COM ATÉ 5 CM PARA RECEBIMENTO DE REVESTIMENTO NONO</v>
      </c>
      <c r="C58" s="202" t="str">
        <f>'1. BRIEFING'!C67</f>
        <v>VB</v>
      </c>
      <c r="D58" s="207">
        <f>'1. BRIEFING'!D67</f>
        <v>1</v>
      </c>
      <c r="E58" s="37"/>
      <c r="F58" s="37"/>
      <c r="G58" s="37"/>
      <c r="H58" s="37"/>
      <c r="I58" s="37"/>
      <c r="J58" s="37"/>
      <c r="K58" s="37"/>
      <c r="L58" s="37"/>
      <c r="M58" s="203"/>
      <c r="N58" s="37"/>
      <c r="O58" s="37">
        <v>8</v>
      </c>
      <c r="P58" s="204" t="e">
        <f t="shared" si="58"/>
        <v>#DIV/0!</v>
      </c>
      <c r="Q58" s="37"/>
      <c r="R58" s="204" t="e">
        <f t="shared" si="59"/>
        <v>#DIV/0!</v>
      </c>
      <c r="S58" s="204" t="e">
        <f t="shared" ref="S58:Z58" si="62">E58*$R58</f>
        <v>#DIV/0!</v>
      </c>
      <c r="T58" s="204" t="e">
        <f t="shared" si="62"/>
        <v>#DIV/0!</v>
      </c>
      <c r="U58" s="204" t="e">
        <f t="shared" si="62"/>
        <v>#DIV/0!</v>
      </c>
      <c r="V58" s="205" t="e">
        <f t="shared" si="62"/>
        <v>#DIV/0!</v>
      </c>
      <c r="W58" s="204" t="e">
        <f t="shared" si="62"/>
        <v>#DIV/0!</v>
      </c>
      <c r="X58" s="204" t="e">
        <f t="shared" si="62"/>
        <v>#DIV/0!</v>
      </c>
      <c r="Y58" s="204" t="e">
        <f t="shared" si="62"/>
        <v>#DIV/0!</v>
      </c>
      <c r="Z58" s="204" t="e">
        <f t="shared" si="62"/>
        <v>#DIV/0!</v>
      </c>
      <c r="AA58" s="196" t="e">
        <f t="shared" si="3"/>
        <v>#DIV/0!</v>
      </c>
      <c r="AB58" s="101"/>
      <c r="AC58" s="128"/>
    </row>
    <row r="59" spans="1:29" ht="14.4" x14ac:dyDescent="0.3">
      <c r="A59" s="193"/>
      <c r="B59" s="198" t="str">
        <f>'1. BRIEFING'!B75</f>
        <v xml:space="preserve">REVESTIMENTO EM PORCELANATO </v>
      </c>
      <c r="C59" s="199"/>
      <c r="D59" s="199"/>
      <c r="E59" s="199"/>
      <c r="F59" s="199"/>
      <c r="G59" s="199"/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  <c r="AA59" s="196" t="e">
        <f t="shared" si="3"/>
        <v>#DIV/0!</v>
      </c>
      <c r="AB59" s="101"/>
      <c r="AC59" s="128"/>
    </row>
    <row r="60" spans="1:29" ht="14.4" x14ac:dyDescent="0.3">
      <c r="A60" s="193"/>
      <c r="B60" s="201" t="str">
        <f>'1. BRIEFING'!B76</f>
        <v>REVESTIMENTO EM PISO ÁREA COMUM  l BIANCOGRÉS CRISTALLO 60X60 CM</v>
      </c>
      <c r="C60" s="202" t="s">
        <v>29</v>
      </c>
      <c r="D60" s="207">
        <f>'1. BRIEFING'!D69</f>
        <v>1</v>
      </c>
      <c r="E60" s="37"/>
      <c r="F60" s="37"/>
      <c r="G60" s="37"/>
      <c r="H60" s="37"/>
      <c r="I60" s="37"/>
      <c r="J60" s="37"/>
      <c r="K60" s="37"/>
      <c r="L60" s="37"/>
      <c r="M60" s="203"/>
      <c r="N60" s="37"/>
      <c r="O60" s="37">
        <v>8</v>
      </c>
      <c r="P60" s="204" t="e">
        <f t="shared" ref="P60:P65" si="63">ROUNDUP(AA60,0)</f>
        <v>#DIV/0!</v>
      </c>
      <c r="Q60" s="37"/>
      <c r="R60" s="204" t="e">
        <f t="shared" ref="R60:R65" si="64">P60/Q60</f>
        <v>#DIV/0!</v>
      </c>
      <c r="S60" s="204" t="e">
        <f t="shared" ref="S60:Z60" si="65">E60*$R60</f>
        <v>#DIV/0!</v>
      </c>
      <c r="T60" s="204" t="e">
        <f t="shared" si="65"/>
        <v>#DIV/0!</v>
      </c>
      <c r="U60" s="204" t="e">
        <f t="shared" si="65"/>
        <v>#DIV/0!</v>
      </c>
      <c r="V60" s="205" t="e">
        <f t="shared" si="65"/>
        <v>#DIV/0!</v>
      </c>
      <c r="W60" s="204" t="e">
        <f t="shared" si="65"/>
        <v>#DIV/0!</v>
      </c>
      <c r="X60" s="204" t="e">
        <f t="shared" si="65"/>
        <v>#DIV/0!</v>
      </c>
      <c r="Y60" s="204" t="e">
        <f t="shared" si="65"/>
        <v>#DIV/0!</v>
      </c>
      <c r="Z60" s="204" t="e">
        <f t="shared" si="65"/>
        <v>#DIV/0!</v>
      </c>
      <c r="AA60" s="196" t="e">
        <f t="shared" si="3"/>
        <v>#DIV/0!</v>
      </c>
      <c r="AB60" s="101"/>
      <c r="AC60" s="128"/>
    </row>
    <row r="61" spans="1:29" ht="14.4" x14ac:dyDescent="0.3">
      <c r="A61" s="193"/>
      <c r="B61" s="201" t="str">
        <f>'1. BRIEFING'!B77</f>
        <v>REVESTIMENTO EM PISO ÁREA MOLHADA l BIANCOGRÉS CRISTALLO 60X60 CM</v>
      </c>
      <c r="C61" s="202" t="str">
        <f>'1. BRIEFING'!C70</f>
        <v>VB</v>
      </c>
      <c r="D61" s="207">
        <f>'1. BRIEFING'!D70</f>
        <v>1</v>
      </c>
      <c r="E61" s="37"/>
      <c r="F61" s="37"/>
      <c r="G61" s="37"/>
      <c r="H61" s="37"/>
      <c r="I61" s="37"/>
      <c r="J61" s="37"/>
      <c r="K61" s="37"/>
      <c r="L61" s="37"/>
      <c r="M61" s="203"/>
      <c r="N61" s="37"/>
      <c r="O61" s="37">
        <v>8</v>
      </c>
      <c r="P61" s="204" t="e">
        <f t="shared" si="63"/>
        <v>#DIV/0!</v>
      </c>
      <c r="Q61" s="37"/>
      <c r="R61" s="204" t="e">
        <f t="shared" si="64"/>
        <v>#DIV/0!</v>
      </c>
      <c r="S61" s="204" t="e">
        <f t="shared" ref="S61:Z61" si="66">E61*$R61</f>
        <v>#DIV/0!</v>
      </c>
      <c r="T61" s="204" t="e">
        <f t="shared" si="66"/>
        <v>#DIV/0!</v>
      </c>
      <c r="U61" s="204" t="e">
        <f t="shared" si="66"/>
        <v>#DIV/0!</v>
      </c>
      <c r="V61" s="205" t="e">
        <f t="shared" si="66"/>
        <v>#DIV/0!</v>
      </c>
      <c r="W61" s="204" t="e">
        <f t="shared" si="66"/>
        <v>#DIV/0!</v>
      </c>
      <c r="X61" s="204" t="e">
        <f t="shared" si="66"/>
        <v>#DIV/0!</v>
      </c>
      <c r="Y61" s="204" t="e">
        <f t="shared" si="66"/>
        <v>#DIV/0!</v>
      </c>
      <c r="Z61" s="204" t="e">
        <f t="shared" si="66"/>
        <v>#DIV/0!</v>
      </c>
      <c r="AA61" s="196" t="e">
        <f t="shared" si="3"/>
        <v>#DIV/0!</v>
      </c>
      <c r="AB61" s="101"/>
      <c r="AC61" s="128"/>
    </row>
    <row r="62" spans="1:29" ht="14.4" x14ac:dyDescent="0.3">
      <c r="A62" s="193"/>
      <c r="B62" s="201" t="str">
        <f>'1. BRIEFING'!B78</f>
        <v>REVESTIMENTO EM PAREDE COZINHA l POINTER 60X60 CM</v>
      </c>
      <c r="C62" s="202">
        <f>'1. BRIEFING'!C71</f>
        <v>0</v>
      </c>
      <c r="D62" s="202">
        <f>'1. BRIEFING'!D71</f>
        <v>0</v>
      </c>
      <c r="E62" s="37"/>
      <c r="F62" s="37"/>
      <c r="G62" s="37"/>
      <c r="H62" s="37"/>
      <c r="I62" s="37"/>
      <c r="J62" s="37"/>
      <c r="K62" s="37"/>
      <c r="L62" s="37"/>
      <c r="M62" s="203"/>
      <c r="N62" s="37"/>
      <c r="O62" s="37">
        <v>8</v>
      </c>
      <c r="P62" s="204" t="e">
        <f t="shared" si="63"/>
        <v>#DIV/0!</v>
      </c>
      <c r="Q62" s="37"/>
      <c r="R62" s="204" t="e">
        <f t="shared" si="64"/>
        <v>#DIV/0!</v>
      </c>
      <c r="S62" s="204" t="e">
        <f t="shared" ref="S62:Z62" si="67">E62*$R62</f>
        <v>#DIV/0!</v>
      </c>
      <c r="T62" s="204" t="e">
        <f t="shared" si="67"/>
        <v>#DIV/0!</v>
      </c>
      <c r="U62" s="204" t="e">
        <f t="shared" si="67"/>
        <v>#DIV/0!</v>
      </c>
      <c r="V62" s="205" t="e">
        <f t="shared" si="67"/>
        <v>#DIV/0!</v>
      </c>
      <c r="W62" s="204" t="e">
        <f t="shared" si="67"/>
        <v>#DIV/0!</v>
      </c>
      <c r="X62" s="204" t="e">
        <f t="shared" si="67"/>
        <v>#DIV/0!</v>
      </c>
      <c r="Y62" s="204" t="e">
        <f t="shared" si="67"/>
        <v>#DIV/0!</v>
      </c>
      <c r="Z62" s="204" t="e">
        <f t="shared" si="67"/>
        <v>#DIV/0!</v>
      </c>
      <c r="AA62" s="196" t="e">
        <f t="shared" si="3"/>
        <v>#DIV/0!</v>
      </c>
      <c r="AB62" s="101"/>
      <c r="AC62" s="128"/>
    </row>
    <row r="63" spans="1:29" ht="14.4" x14ac:dyDescent="0.3">
      <c r="A63" s="193"/>
      <c r="B63" s="201" t="str">
        <f>'1. BRIEFING'!B79</f>
        <v>REVESTIMENTO EM PAREDE BANHEIROS l POINTER 60X60 CM</v>
      </c>
      <c r="C63" s="202" t="str">
        <f>'1. BRIEFING'!C72</f>
        <v>M²</v>
      </c>
      <c r="D63" s="207">
        <f>'1. BRIEFING'!D72</f>
        <v>1</v>
      </c>
      <c r="E63" s="37"/>
      <c r="F63" s="37"/>
      <c r="G63" s="37"/>
      <c r="H63" s="37"/>
      <c r="I63" s="37"/>
      <c r="J63" s="37"/>
      <c r="K63" s="37"/>
      <c r="L63" s="37"/>
      <c r="M63" s="203"/>
      <c r="N63" s="37"/>
      <c r="O63" s="37">
        <v>8</v>
      </c>
      <c r="P63" s="204" t="e">
        <f t="shared" si="63"/>
        <v>#DIV/0!</v>
      </c>
      <c r="Q63" s="37"/>
      <c r="R63" s="204" t="e">
        <f t="shared" si="64"/>
        <v>#DIV/0!</v>
      </c>
      <c r="S63" s="204" t="e">
        <f t="shared" ref="S63:Z63" si="68">E63*$R63</f>
        <v>#DIV/0!</v>
      </c>
      <c r="T63" s="204" t="e">
        <f t="shared" si="68"/>
        <v>#DIV/0!</v>
      </c>
      <c r="U63" s="204" t="e">
        <f t="shared" si="68"/>
        <v>#DIV/0!</v>
      </c>
      <c r="V63" s="205" t="e">
        <f t="shared" si="68"/>
        <v>#DIV/0!</v>
      </c>
      <c r="W63" s="204" t="e">
        <f t="shared" si="68"/>
        <v>#DIV/0!</v>
      </c>
      <c r="X63" s="204" t="e">
        <f t="shared" si="68"/>
        <v>#DIV/0!</v>
      </c>
      <c r="Y63" s="204" t="e">
        <f t="shared" si="68"/>
        <v>#DIV/0!</v>
      </c>
      <c r="Z63" s="204" t="e">
        <f t="shared" si="68"/>
        <v>#DIV/0!</v>
      </c>
      <c r="AA63" s="196" t="e">
        <f t="shared" si="3"/>
        <v>#DIV/0!</v>
      </c>
      <c r="AB63" s="101"/>
      <c r="AC63" s="128"/>
    </row>
    <row r="64" spans="1:29" ht="14.4" x14ac:dyDescent="0.3">
      <c r="A64" s="193"/>
      <c r="B64" s="201" t="str">
        <f>'1. BRIEFING'!B80</f>
        <v>REVESTIMENTO EM PAREDE ÁREA DE SERVIÇO l POINTER 60X60 CM</v>
      </c>
      <c r="C64" s="202" t="str">
        <f>'1. BRIEFING'!C73</f>
        <v>M²</v>
      </c>
      <c r="D64" s="207">
        <f>'1. BRIEFING'!D73</f>
        <v>1</v>
      </c>
      <c r="E64" s="37"/>
      <c r="F64" s="37"/>
      <c r="G64" s="37"/>
      <c r="H64" s="37"/>
      <c r="I64" s="37"/>
      <c r="J64" s="37"/>
      <c r="K64" s="37"/>
      <c r="L64" s="37"/>
      <c r="M64" s="203"/>
      <c r="N64" s="37"/>
      <c r="O64" s="37">
        <v>8</v>
      </c>
      <c r="P64" s="204" t="e">
        <f t="shared" si="63"/>
        <v>#DIV/0!</v>
      </c>
      <c r="Q64" s="37"/>
      <c r="R64" s="204" t="e">
        <f t="shared" si="64"/>
        <v>#DIV/0!</v>
      </c>
      <c r="S64" s="204" t="e">
        <f t="shared" ref="S64:Z64" si="69">E64*$R64</f>
        <v>#DIV/0!</v>
      </c>
      <c r="T64" s="204" t="e">
        <f t="shared" si="69"/>
        <v>#DIV/0!</v>
      </c>
      <c r="U64" s="204" t="e">
        <f t="shared" si="69"/>
        <v>#DIV/0!</v>
      </c>
      <c r="V64" s="205" t="e">
        <f t="shared" si="69"/>
        <v>#DIV/0!</v>
      </c>
      <c r="W64" s="204" t="e">
        <f t="shared" si="69"/>
        <v>#DIV/0!</v>
      </c>
      <c r="X64" s="204" t="e">
        <f t="shared" si="69"/>
        <v>#DIV/0!</v>
      </c>
      <c r="Y64" s="204" t="e">
        <f t="shared" si="69"/>
        <v>#DIV/0!</v>
      </c>
      <c r="Z64" s="204" t="e">
        <f t="shared" si="69"/>
        <v>#DIV/0!</v>
      </c>
      <c r="AA64" s="196" t="e">
        <f t="shared" si="3"/>
        <v>#DIV/0!</v>
      </c>
      <c r="AB64" s="101"/>
      <c r="AC64" s="128"/>
    </row>
    <row r="65" spans="1:29" ht="14.4" x14ac:dyDescent="0.3">
      <c r="A65" s="193"/>
      <c r="B65" s="201" t="str">
        <f>'1. BRIEFING'!B81</f>
        <v>REVESTIMENTO EM PAREDE VARANDA l POINTER 60X60 CM</v>
      </c>
      <c r="C65" s="202" t="str">
        <f>'1. BRIEFING'!C74</f>
        <v>M²</v>
      </c>
      <c r="D65" s="207">
        <f>'1. BRIEFING'!D74</f>
        <v>1</v>
      </c>
      <c r="E65" s="37"/>
      <c r="F65" s="37"/>
      <c r="G65" s="37"/>
      <c r="H65" s="37"/>
      <c r="I65" s="37"/>
      <c r="J65" s="37"/>
      <c r="K65" s="37"/>
      <c r="L65" s="37"/>
      <c r="M65" s="203"/>
      <c r="N65" s="37"/>
      <c r="O65" s="37">
        <v>8</v>
      </c>
      <c r="P65" s="204" t="e">
        <f t="shared" si="63"/>
        <v>#DIV/0!</v>
      </c>
      <c r="Q65" s="37"/>
      <c r="R65" s="204" t="e">
        <f t="shared" si="64"/>
        <v>#DIV/0!</v>
      </c>
      <c r="S65" s="204" t="e">
        <f t="shared" ref="S65:Z65" si="70">E65*$R65</f>
        <v>#DIV/0!</v>
      </c>
      <c r="T65" s="204" t="e">
        <f t="shared" si="70"/>
        <v>#DIV/0!</v>
      </c>
      <c r="U65" s="204" t="e">
        <f t="shared" si="70"/>
        <v>#DIV/0!</v>
      </c>
      <c r="V65" s="205" t="e">
        <f t="shared" si="70"/>
        <v>#DIV/0!</v>
      </c>
      <c r="W65" s="204" t="e">
        <f t="shared" si="70"/>
        <v>#DIV/0!</v>
      </c>
      <c r="X65" s="204" t="e">
        <f t="shared" si="70"/>
        <v>#DIV/0!</v>
      </c>
      <c r="Y65" s="204" t="e">
        <f t="shared" si="70"/>
        <v>#DIV/0!</v>
      </c>
      <c r="Z65" s="204" t="e">
        <f t="shared" si="70"/>
        <v>#DIV/0!</v>
      </c>
      <c r="AA65" s="196" t="e">
        <f t="shared" si="3"/>
        <v>#DIV/0!</v>
      </c>
      <c r="AB65" s="101"/>
      <c r="AC65" s="128"/>
    </row>
    <row r="66" spans="1:29" ht="14.4" x14ac:dyDescent="0.3">
      <c r="A66" s="193"/>
      <c r="B66" s="198" t="str">
        <f>'1. BRIEFING'!B82</f>
        <v>LOUÇAS E METAIS</v>
      </c>
      <c r="C66" s="199"/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  <c r="AA66" s="196" t="e">
        <f t="shared" si="3"/>
        <v>#DIV/0!</v>
      </c>
      <c r="AB66" s="101"/>
      <c r="AC66" s="128"/>
    </row>
    <row r="67" spans="1:29" ht="14.4" x14ac:dyDescent="0.3">
      <c r="A67" s="193"/>
      <c r="B67" s="201" t="str">
        <f>'1. BRIEFING'!B83</f>
        <v>INSTALAÇÃO DE VASO SANITÁRIO COM CX ACOPLADA l ECOLUS CELITE BRANCA</v>
      </c>
      <c r="C67" s="202" t="str">
        <f>'1. BRIEFING'!C76</f>
        <v>M²</v>
      </c>
      <c r="D67" s="207">
        <f>'1. BRIEFING'!D76</f>
        <v>1</v>
      </c>
      <c r="E67" s="37"/>
      <c r="F67" s="37"/>
      <c r="G67" s="37"/>
      <c r="H67" s="37"/>
      <c r="I67" s="37"/>
      <c r="J67" s="37"/>
      <c r="K67" s="37"/>
      <c r="L67" s="37"/>
      <c r="M67" s="203"/>
      <c r="N67" s="37"/>
      <c r="O67" s="37">
        <v>8</v>
      </c>
      <c r="P67" s="204" t="e">
        <f t="shared" ref="P67:P72" si="71">ROUNDUP(AA67,0)</f>
        <v>#DIV/0!</v>
      </c>
      <c r="Q67" s="37"/>
      <c r="R67" s="204" t="e">
        <f t="shared" ref="R67:R72" si="72">P67/Q67</f>
        <v>#DIV/0!</v>
      </c>
      <c r="S67" s="204" t="e">
        <f t="shared" ref="S67:Z67" si="73">E67*$R67</f>
        <v>#DIV/0!</v>
      </c>
      <c r="T67" s="204" t="e">
        <f t="shared" si="73"/>
        <v>#DIV/0!</v>
      </c>
      <c r="U67" s="204" t="e">
        <f t="shared" si="73"/>
        <v>#DIV/0!</v>
      </c>
      <c r="V67" s="205" t="e">
        <f t="shared" si="73"/>
        <v>#DIV/0!</v>
      </c>
      <c r="W67" s="204" t="e">
        <f t="shared" si="73"/>
        <v>#DIV/0!</v>
      </c>
      <c r="X67" s="204" t="e">
        <f t="shared" si="73"/>
        <v>#DIV/0!</v>
      </c>
      <c r="Y67" s="204" t="e">
        <f t="shared" si="73"/>
        <v>#DIV/0!</v>
      </c>
      <c r="Z67" s="204" t="e">
        <f t="shared" si="73"/>
        <v>#DIV/0!</v>
      </c>
      <c r="AA67" s="196" t="e">
        <f t="shared" si="3"/>
        <v>#DIV/0!</v>
      </c>
      <c r="AB67" s="101"/>
      <c r="AC67" s="128"/>
    </row>
    <row r="68" spans="1:29" ht="14.4" x14ac:dyDescent="0.3">
      <c r="A68" s="193"/>
      <c r="B68" s="201" t="str">
        <f>'1. BRIEFING'!B84</f>
        <v>INSTALAÇÃO DE CUBA SUSPENSA DE CANTO EM LOUÇA BRANCA l CELITE</v>
      </c>
      <c r="C68" s="202" t="str">
        <f>'1. BRIEFING'!C77</f>
        <v>M²</v>
      </c>
      <c r="D68" s="207">
        <f>'1. BRIEFING'!D77</f>
        <v>1</v>
      </c>
      <c r="E68" s="37"/>
      <c r="F68" s="37"/>
      <c r="G68" s="37"/>
      <c r="H68" s="37"/>
      <c r="I68" s="37"/>
      <c r="J68" s="37"/>
      <c r="K68" s="37"/>
      <c r="L68" s="37"/>
      <c r="M68" s="203"/>
      <c r="N68" s="37"/>
      <c r="O68" s="37">
        <v>8</v>
      </c>
      <c r="P68" s="204" t="e">
        <f t="shared" si="71"/>
        <v>#DIV/0!</v>
      </c>
      <c r="Q68" s="37"/>
      <c r="R68" s="204" t="e">
        <f t="shared" si="72"/>
        <v>#DIV/0!</v>
      </c>
      <c r="S68" s="204" t="e">
        <f t="shared" ref="S68:Z68" si="74">E68*$R68</f>
        <v>#DIV/0!</v>
      </c>
      <c r="T68" s="204" t="e">
        <f t="shared" si="74"/>
        <v>#DIV/0!</v>
      </c>
      <c r="U68" s="204" t="e">
        <f t="shared" si="74"/>
        <v>#DIV/0!</v>
      </c>
      <c r="V68" s="205" t="e">
        <f t="shared" si="74"/>
        <v>#DIV/0!</v>
      </c>
      <c r="W68" s="204" t="e">
        <f t="shared" si="74"/>
        <v>#DIV/0!</v>
      </c>
      <c r="X68" s="204" t="e">
        <f t="shared" si="74"/>
        <v>#DIV/0!</v>
      </c>
      <c r="Y68" s="204" t="e">
        <f t="shared" si="74"/>
        <v>#DIV/0!</v>
      </c>
      <c r="Z68" s="204" t="e">
        <f t="shared" si="74"/>
        <v>#DIV/0!</v>
      </c>
      <c r="AA68" s="196" t="e">
        <f t="shared" si="3"/>
        <v>#DIV/0!</v>
      </c>
      <c r="AB68" s="101"/>
      <c r="AC68" s="128"/>
    </row>
    <row r="69" spans="1:29" ht="14.4" x14ac:dyDescent="0.3">
      <c r="A69" s="193"/>
      <c r="B69" s="201" t="str">
        <f>'1. BRIEFING'!B85</f>
        <v>INSTALAÇÃO DE TORNEIRA BICA ALTA</v>
      </c>
      <c r="C69" s="202" t="str">
        <f>'1. BRIEFING'!C78</f>
        <v>M²</v>
      </c>
      <c r="D69" s="207">
        <f>'1. BRIEFING'!D78</f>
        <v>1</v>
      </c>
      <c r="E69" s="37"/>
      <c r="F69" s="37"/>
      <c r="G69" s="37"/>
      <c r="H69" s="37"/>
      <c r="I69" s="37"/>
      <c r="J69" s="37"/>
      <c r="K69" s="37"/>
      <c r="L69" s="37"/>
      <c r="M69" s="203"/>
      <c r="N69" s="37"/>
      <c r="O69" s="37">
        <v>8</v>
      </c>
      <c r="P69" s="204" t="e">
        <f t="shared" si="71"/>
        <v>#DIV/0!</v>
      </c>
      <c r="Q69" s="37"/>
      <c r="R69" s="204" t="e">
        <f t="shared" si="72"/>
        <v>#DIV/0!</v>
      </c>
      <c r="S69" s="204" t="e">
        <f t="shared" ref="S69:Z69" si="75">E69*$R69</f>
        <v>#DIV/0!</v>
      </c>
      <c r="T69" s="204" t="e">
        <f t="shared" si="75"/>
        <v>#DIV/0!</v>
      </c>
      <c r="U69" s="204" t="e">
        <f t="shared" si="75"/>
        <v>#DIV/0!</v>
      </c>
      <c r="V69" s="205" t="e">
        <f t="shared" si="75"/>
        <v>#DIV/0!</v>
      </c>
      <c r="W69" s="204" t="e">
        <f t="shared" si="75"/>
        <v>#DIV/0!</v>
      </c>
      <c r="X69" s="204" t="e">
        <f t="shared" si="75"/>
        <v>#DIV/0!</v>
      </c>
      <c r="Y69" s="204" t="e">
        <f t="shared" si="75"/>
        <v>#DIV/0!</v>
      </c>
      <c r="Z69" s="204" t="e">
        <f t="shared" si="75"/>
        <v>#DIV/0!</v>
      </c>
      <c r="AA69" s="196" t="e">
        <f t="shared" si="3"/>
        <v>#DIV/0!</v>
      </c>
      <c r="AB69" s="101"/>
      <c r="AC69" s="128"/>
    </row>
    <row r="70" spans="1:29" ht="14.4" x14ac:dyDescent="0.3">
      <c r="A70" s="193"/>
      <c r="B70" s="201" t="str">
        <f>'1. BRIEFING'!B86</f>
        <v>INSTALAÇÃO DE PORTA ACESSÓRIOS l KIT BANHEIRO</v>
      </c>
      <c r="C70" s="202" t="str">
        <f>'1. BRIEFING'!C79</f>
        <v>M²</v>
      </c>
      <c r="D70" s="207">
        <f>'1. BRIEFING'!D79</f>
        <v>1</v>
      </c>
      <c r="E70" s="37"/>
      <c r="F70" s="37"/>
      <c r="G70" s="37"/>
      <c r="H70" s="37"/>
      <c r="I70" s="37"/>
      <c r="J70" s="37"/>
      <c r="K70" s="37"/>
      <c r="L70" s="37"/>
      <c r="M70" s="203"/>
      <c r="N70" s="37"/>
      <c r="O70" s="37">
        <v>8</v>
      </c>
      <c r="P70" s="204" t="e">
        <f t="shared" si="71"/>
        <v>#DIV/0!</v>
      </c>
      <c r="Q70" s="37"/>
      <c r="R70" s="204" t="e">
        <f t="shared" si="72"/>
        <v>#DIV/0!</v>
      </c>
      <c r="S70" s="204" t="e">
        <f t="shared" ref="S70:Z70" si="76">E70*$R70</f>
        <v>#DIV/0!</v>
      </c>
      <c r="T70" s="204" t="e">
        <f t="shared" si="76"/>
        <v>#DIV/0!</v>
      </c>
      <c r="U70" s="204" t="e">
        <f t="shared" si="76"/>
        <v>#DIV/0!</v>
      </c>
      <c r="V70" s="205" t="e">
        <f t="shared" si="76"/>
        <v>#DIV/0!</v>
      </c>
      <c r="W70" s="204" t="e">
        <f t="shared" si="76"/>
        <v>#DIV/0!</v>
      </c>
      <c r="X70" s="204" t="e">
        <f t="shared" si="76"/>
        <v>#DIV/0!</v>
      </c>
      <c r="Y70" s="204" t="e">
        <f t="shared" si="76"/>
        <v>#DIV/0!</v>
      </c>
      <c r="Z70" s="204" t="e">
        <f t="shared" si="76"/>
        <v>#DIV/0!</v>
      </c>
      <c r="AA70" s="196" t="e">
        <f t="shared" si="3"/>
        <v>#DIV/0!</v>
      </c>
      <c r="AB70" s="101"/>
      <c r="AC70" s="128"/>
    </row>
    <row r="71" spans="1:29" ht="14.4" x14ac:dyDescent="0.3">
      <c r="A71" s="193"/>
      <c r="B71" s="201" t="str">
        <f>'1. BRIEFING'!B87</f>
        <v xml:space="preserve">INSTALAÇÃO DE DUCHA HIGIÊNCIA </v>
      </c>
      <c r="C71" s="202" t="str">
        <f>'1. BRIEFING'!C80</f>
        <v>M²</v>
      </c>
      <c r="D71" s="207">
        <f>'1. BRIEFING'!D80</f>
        <v>1</v>
      </c>
      <c r="E71" s="37"/>
      <c r="F71" s="37"/>
      <c r="G71" s="37"/>
      <c r="H71" s="37"/>
      <c r="I71" s="37"/>
      <c r="J71" s="37"/>
      <c r="K71" s="37"/>
      <c r="L71" s="37"/>
      <c r="M71" s="203"/>
      <c r="N71" s="37"/>
      <c r="O71" s="37">
        <v>8</v>
      </c>
      <c r="P71" s="204" t="e">
        <f t="shared" si="71"/>
        <v>#DIV/0!</v>
      </c>
      <c r="Q71" s="37"/>
      <c r="R71" s="204" t="e">
        <f t="shared" si="72"/>
        <v>#DIV/0!</v>
      </c>
      <c r="S71" s="204" t="e">
        <f t="shared" ref="S71:Z71" si="77">E71*$R71</f>
        <v>#DIV/0!</v>
      </c>
      <c r="T71" s="204" t="e">
        <f t="shared" si="77"/>
        <v>#DIV/0!</v>
      </c>
      <c r="U71" s="204" t="e">
        <f t="shared" si="77"/>
        <v>#DIV/0!</v>
      </c>
      <c r="V71" s="205" t="e">
        <f t="shared" si="77"/>
        <v>#DIV/0!</v>
      </c>
      <c r="W71" s="204" t="e">
        <f t="shared" si="77"/>
        <v>#DIV/0!</v>
      </c>
      <c r="X71" s="204" t="e">
        <f t="shared" si="77"/>
        <v>#DIV/0!</v>
      </c>
      <c r="Y71" s="204" t="e">
        <f t="shared" si="77"/>
        <v>#DIV/0!</v>
      </c>
      <c r="Z71" s="204" t="e">
        <f t="shared" si="77"/>
        <v>#DIV/0!</v>
      </c>
      <c r="AA71" s="196" t="e">
        <f t="shared" si="3"/>
        <v>#DIV/0!</v>
      </c>
      <c r="AB71" s="101"/>
      <c r="AC71" s="128"/>
    </row>
    <row r="72" spans="1:29" ht="14.4" x14ac:dyDescent="0.3">
      <c r="A72" s="193"/>
      <c r="B72" s="201" t="str">
        <f>'1. BRIEFING'!B88</f>
        <v>INSTALAÇÃO DE CHUVEIRO</v>
      </c>
      <c r="C72" s="202" t="str">
        <f>'1. BRIEFING'!C81</f>
        <v>M²</v>
      </c>
      <c r="D72" s="207">
        <f>'1. BRIEFING'!D81</f>
        <v>1</v>
      </c>
      <c r="E72" s="37"/>
      <c r="F72" s="37"/>
      <c r="G72" s="37"/>
      <c r="H72" s="37"/>
      <c r="I72" s="37"/>
      <c r="J72" s="37"/>
      <c r="K72" s="37"/>
      <c r="L72" s="37"/>
      <c r="M72" s="203"/>
      <c r="N72" s="37"/>
      <c r="O72" s="37">
        <v>8</v>
      </c>
      <c r="P72" s="204" t="e">
        <f t="shared" si="71"/>
        <v>#DIV/0!</v>
      </c>
      <c r="Q72" s="37"/>
      <c r="R72" s="204" t="e">
        <f t="shared" si="72"/>
        <v>#DIV/0!</v>
      </c>
      <c r="S72" s="204" t="e">
        <f t="shared" ref="S72:Z72" si="78">E72*$R72</f>
        <v>#DIV/0!</v>
      </c>
      <c r="T72" s="204" t="e">
        <f t="shared" si="78"/>
        <v>#DIV/0!</v>
      </c>
      <c r="U72" s="204" t="e">
        <f t="shared" si="78"/>
        <v>#DIV/0!</v>
      </c>
      <c r="V72" s="205" t="e">
        <f t="shared" si="78"/>
        <v>#DIV/0!</v>
      </c>
      <c r="W72" s="204" t="e">
        <f t="shared" si="78"/>
        <v>#DIV/0!</v>
      </c>
      <c r="X72" s="204" t="e">
        <f t="shared" si="78"/>
        <v>#DIV/0!</v>
      </c>
      <c r="Y72" s="204" t="e">
        <f t="shared" si="78"/>
        <v>#DIV/0!</v>
      </c>
      <c r="Z72" s="204" t="e">
        <f t="shared" si="78"/>
        <v>#DIV/0!</v>
      </c>
      <c r="AA72" s="196" t="e">
        <f t="shared" si="3"/>
        <v>#DIV/0!</v>
      </c>
      <c r="AB72" s="101"/>
      <c r="AC72" s="128"/>
    </row>
    <row r="73" spans="1:29" ht="14.4" x14ac:dyDescent="0.3">
      <c r="A73" s="193"/>
      <c r="B73" s="198" t="str">
        <f>'1. BRIEFING'!B89</f>
        <v xml:space="preserve">SERVIÇO EM PINTURA </v>
      </c>
      <c r="C73" s="199"/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  <c r="AA73" s="196" t="e">
        <f t="shared" si="3"/>
        <v>#DIV/0!</v>
      </c>
      <c r="AB73" s="101"/>
      <c r="AC73" s="128"/>
    </row>
    <row r="74" spans="1:29" ht="14.4" x14ac:dyDescent="0.3">
      <c r="A74" s="193"/>
      <c r="B74" s="201" t="str">
        <f>'1. BRIEFING'!B90</f>
        <v>APLICAÇÃO DE SELADOR ACRILICO PAREDE E FORRO</v>
      </c>
      <c r="C74" s="202" t="str">
        <f>'1. BRIEFING'!C83</f>
        <v>UN</v>
      </c>
      <c r="D74" s="207">
        <f>'1. BRIEFING'!D83</f>
        <v>1</v>
      </c>
      <c r="E74" s="37"/>
      <c r="F74" s="37"/>
      <c r="G74" s="37"/>
      <c r="H74" s="37"/>
      <c r="I74" s="37"/>
      <c r="J74" s="37"/>
      <c r="K74" s="37"/>
      <c r="L74" s="37"/>
      <c r="M74" s="203"/>
      <c r="N74" s="37"/>
      <c r="O74" s="37">
        <v>8</v>
      </c>
      <c r="P74" s="204" t="e">
        <f t="shared" ref="P74:P79" si="79">ROUNDUP(AA74,0)</f>
        <v>#DIV/0!</v>
      </c>
      <c r="Q74" s="37"/>
      <c r="R74" s="204" t="e">
        <f t="shared" ref="R74:R79" si="80">P74/Q74</f>
        <v>#DIV/0!</v>
      </c>
      <c r="S74" s="204" t="e">
        <f t="shared" ref="S74:Z74" si="81">E74*$R74</f>
        <v>#DIV/0!</v>
      </c>
      <c r="T74" s="204" t="e">
        <f t="shared" si="81"/>
        <v>#DIV/0!</v>
      </c>
      <c r="U74" s="204" t="e">
        <f t="shared" si="81"/>
        <v>#DIV/0!</v>
      </c>
      <c r="V74" s="205" t="e">
        <f t="shared" si="81"/>
        <v>#DIV/0!</v>
      </c>
      <c r="W74" s="204" t="e">
        <f t="shared" si="81"/>
        <v>#DIV/0!</v>
      </c>
      <c r="X74" s="204" t="e">
        <f t="shared" si="81"/>
        <v>#DIV/0!</v>
      </c>
      <c r="Y74" s="204" t="e">
        <f t="shared" si="81"/>
        <v>#DIV/0!</v>
      </c>
      <c r="Z74" s="204" t="e">
        <f t="shared" si="81"/>
        <v>#DIV/0!</v>
      </c>
      <c r="AA74" s="196" t="e">
        <f t="shared" si="3"/>
        <v>#DIV/0!</v>
      </c>
      <c r="AB74" s="101"/>
      <c r="AC74" s="128"/>
    </row>
    <row r="75" spans="1:29" ht="14.4" x14ac:dyDescent="0.3">
      <c r="A75" s="193"/>
      <c r="B75" s="201" t="str">
        <f>'1. BRIEFING'!B91</f>
        <v>APLICAÇÃO E LIXAMENTO DE MASSA CORRIDA EM FORRO DE GESSO</v>
      </c>
      <c r="C75" s="202" t="str">
        <f>'1. BRIEFING'!C84</f>
        <v>UN</v>
      </c>
      <c r="D75" s="207">
        <f>'1. BRIEFING'!D84</f>
        <v>1</v>
      </c>
      <c r="E75" s="37"/>
      <c r="F75" s="37"/>
      <c r="G75" s="37"/>
      <c r="H75" s="37"/>
      <c r="I75" s="37"/>
      <c r="J75" s="37"/>
      <c r="K75" s="37"/>
      <c r="L75" s="37"/>
      <c r="M75" s="203"/>
      <c r="N75" s="37"/>
      <c r="O75" s="37">
        <v>8</v>
      </c>
      <c r="P75" s="204" t="e">
        <f t="shared" si="79"/>
        <v>#DIV/0!</v>
      </c>
      <c r="Q75" s="37"/>
      <c r="R75" s="204" t="e">
        <f t="shared" si="80"/>
        <v>#DIV/0!</v>
      </c>
      <c r="S75" s="204" t="e">
        <f t="shared" ref="S75:Z75" si="82">E75*$R75</f>
        <v>#DIV/0!</v>
      </c>
      <c r="T75" s="204" t="e">
        <f t="shared" si="82"/>
        <v>#DIV/0!</v>
      </c>
      <c r="U75" s="204" t="e">
        <f t="shared" si="82"/>
        <v>#DIV/0!</v>
      </c>
      <c r="V75" s="205" t="e">
        <f t="shared" si="82"/>
        <v>#DIV/0!</v>
      </c>
      <c r="W75" s="204" t="e">
        <f t="shared" si="82"/>
        <v>#DIV/0!</v>
      </c>
      <c r="X75" s="204" t="e">
        <f t="shared" si="82"/>
        <v>#DIV/0!</v>
      </c>
      <c r="Y75" s="204" t="e">
        <f t="shared" si="82"/>
        <v>#DIV/0!</v>
      </c>
      <c r="Z75" s="204" t="e">
        <f t="shared" si="82"/>
        <v>#DIV/0!</v>
      </c>
      <c r="AA75" s="196" t="e">
        <f t="shared" si="3"/>
        <v>#DIV/0!</v>
      </c>
      <c r="AB75" s="101"/>
      <c r="AC75" s="128"/>
    </row>
    <row r="76" spans="1:29" ht="14.4" x14ac:dyDescent="0.3">
      <c r="A76" s="193"/>
      <c r="B76" s="201" t="str">
        <f>'1. BRIEFING'!B92</f>
        <v xml:space="preserve">APLICAÇÃO DE TINTA EM FORRO EM GESSO COM TINA ACRÍLLICA ACETINADO NA COR </v>
      </c>
      <c r="C76" s="202" t="str">
        <f>'1. BRIEFING'!C85</f>
        <v>UN</v>
      </c>
      <c r="D76" s="207">
        <f>'1. BRIEFING'!D85</f>
        <v>1</v>
      </c>
      <c r="E76" s="37"/>
      <c r="F76" s="37"/>
      <c r="G76" s="37"/>
      <c r="H76" s="37"/>
      <c r="I76" s="37"/>
      <c r="J76" s="37"/>
      <c r="K76" s="37"/>
      <c r="L76" s="37"/>
      <c r="M76" s="203"/>
      <c r="N76" s="37"/>
      <c r="O76" s="37">
        <v>8</v>
      </c>
      <c r="P76" s="204" t="e">
        <f t="shared" si="79"/>
        <v>#DIV/0!</v>
      </c>
      <c r="Q76" s="37"/>
      <c r="R76" s="204" t="e">
        <f t="shared" si="80"/>
        <v>#DIV/0!</v>
      </c>
      <c r="S76" s="204" t="e">
        <f t="shared" ref="S76:Z76" si="83">E76*$R76</f>
        <v>#DIV/0!</v>
      </c>
      <c r="T76" s="204" t="e">
        <f t="shared" si="83"/>
        <v>#DIV/0!</v>
      </c>
      <c r="U76" s="204" t="e">
        <f t="shared" si="83"/>
        <v>#DIV/0!</v>
      </c>
      <c r="V76" s="205" t="e">
        <f t="shared" si="83"/>
        <v>#DIV/0!</v>
      </c>
      <c r="W76" s="204" t="e">
        <f t="shared" si="83"/>
        <v>#DIV/0!</v>
      </c>
      <c r="X76" s="204" t="e">
        <f t="shared" si="83"/>
        <v>#DIV/0!</v>
      </c>
      <c r="Y76" s="204" t="e">
        <f t="shared" si="83"/>
        <v>#DIV/0!</v>
      </c>
      <c r="Z76" s="204" t="e">
        <f t="shared" si="83"/>
        <v>#DIV/0!</v>
      </c>
      <c r="AA76" s="196" t="e">
        <f t="shared" si="3"/>
        <v>#DIV/0!</v>
      </c>
      <c r="AB76" s="101"/>
      <c r="AC76" s="128"/>
    </row>
    <row r="77" spans="1:29" ht="14.4" x14ac:dyDescent="0.3">
      <c r="A77" s="193"/>
      <c r="B77" s="201" t="str">
        <f>'1. BRIEFING'!B93</f>
        <v xml:space="preserve">APLICAÇÃO E LIXAMENTO DE MASSA CORRIDA EM PAREDE </v>
      </c>
      <c r="C77" s="202" t="str">
        <f>'1. BRIEFING'!C86</f>
        <v>UN</v>
      </c>
      <c r="D77" s="207">
        <f>'1. BRIEFING'!D86</f>
        <v>1</v>
      </c>
      <c r="E77" s="37"/>
      <c r="F77" s="37"/>
      <c r="G77" s="37"/>
      <c r="H77" s="37"/>
      <c r="I77" s="37"/>
      <c r="J77" s="37"/>
      <c r="K77" s="37"/>
      <c r="L77" s="37"/>
      <c r="M77" s="203"/>
      <c r="N77" s="37"/>
      <c r="O77" s="37">
        <v>8</v>
      </c>
      <c r="P77" s="204" t="e">
        <f t="shared" si="79"/>
        <v>#DIV/0!</v>
      </c>
      <c r="Q77" s="37"/>
      <c r="R77" s="204" t="e">
        <f t="shared" si="80"/>
        <v>#DIV/0!</v>
      </c>
      <c r="S77" s="204" t="e">
        <f t="shared" ref="S77:Z77" si="84">E77*$R77</f>
        <v>#DIV/0!</v>
      </c>
      <c r="T77" s="204" t="e">
        <f t="shared" si="84"/>
        <v>#DIV/0!</v>
      </c>
      <c r="U77" s="204" t="e">
        <f t="shared" si="84"/>
        <v>#DIV/0!</v>
      </c>
      <c r="V77" s="205" t="e">
        <f t="shared" si="84"/>
        <v>#DIV/0!</v>
      </c>
      <c r="W77" s="204" t="e">
        <f t="shared" si="84"/>
        <v>#DIV/0!</v>
      </c>
      <c r="X77" s="204" t="e">
        <f t="shared" si="84"/>
        <v>#DIV/0!</v>
      </c>
      <c r="Y77" s="204" t="e">
        <f t="shared" si="84"/>
        <v>#DIV/0!</v>
      </c>
      <c r="Z77" s="204" t="e">
        <f t="shared" si="84"/>
        <v>#DIV/0!</v>
      </c>
      <c r="AA77" s="196" t="e">
        <f t="shared" si="3"/>
        <v>#DIV/0!</v>
      </c>
      <c r="AB77" s="101"/>
      <c r="AC77" s="128"/>
    </row>
    <row r="78" spans="1:29" ht="14.4" x14ac:dyDescent="0.3">
      <c r="A78" s="193"/>
      <c r="B78" s="201" t="str">
        <f>'1. BRIEFING'!B94</f>
        <v xml:space="preserve">APLICAÇÃO DE TINTA ACRÍLICA EM PAREDE , ACETINADO  COR </v>
      </c>
      <c r="C78" s="202" t="str">
        <f>'1. BRIEFING'!C87</f>
        <v>UN</v>
      </c>
      <c r="D78" s="207">
        <f>'1. BRIEFING'!D87</f>
        <v>1</v>
      </c>
      <c r="E78" s="37"/>
      <c r="F78" s="37"/>
      <c r="G78" s="37"/>
      <c r="H78" s="37"/>
      <c r="I78" s="37"/>
      <c r="J78" s="37"/>
      <c r="K78" s="37"/>
      <c r="L78" s="37"/>
      <c r="M78" s="203"/>
      <c r="N78" s="37"/>
      <c r="O78" s="37">
        <v>8</v>
      </c>
      <c r="P78" s="204" t="e">
        <f t="shared" si="79"/>
        <v>#DIV/0!</v>
      </c>
      <c r="Q78" s="37"/>
      <c r="R78" s="204" t="e">
        <f t="shared" si="80"/>
        <v>#DIV/0!</v>
      </c>
      <c r="S78" s="204" t="e">
        <f t="shared" ref="S78:Z78" si="85">E78*$R78</f>
        <v>#DIV/0!</v>
      </c>
      <c r="T78" s="204" t="e">
        <f t="shared" si="85"/>
        <v>#DIV/0!</v>
      </c>
      <c r="U78" s="204" t="e">
        <f t="shared" si="85"/>
        <v>#DIV/0!</v>
      </c>
      <c r="V78" s="205" t="e">
        <f t="shared" si="85"/>
        <v>#DIV/0!</v>
      </c>
      <c r="W78" s="204" t="e">
        <f t="shared" si="85"/>
        <v>#DIV/0!</v>
      </c>
      <c r="X78" s="204" t="e">
        <f t="shared" si="85"/>
        <v>#DIV/0!</v>
      </c>
      <c r="Y78" s="204" t="e">
        <f t="shared" si="85"/>
        <v>#DIV/0!</v>
      </c>
      <c r="Z78" s="204" t="e">
        <f t="shared" si="85"/>
        <v>#DIV/0!</v>
      </c>
      <c r="AA78" s="196" t="e">
        <f t="shared" si="3"/>
        <v>#DIV/0!</v>
      </c>
      <c r="AB78" s="101"/>
      <c r="AC78" s="128"/>
    </row>
    <row r="79" spans="1:29" ht="14.4" x14ac:dyDescent="0.3">
      <c r="A79" s="193"/>
      <c r="B79" s="201" t="str">
        <f>'1. BRIEFING'!B95</f>
        <v>APLICAÇÃO DE FUNDO, MASSA E TINTA EM PORTA DE MADEIRA, ACETINADO NA COR</v>
      </c>
      <c r="C79" s="202" t="str">
        <f>'1. BRIEFING'!C88</f>
        <v>UN</v>
      </c>
      <c r="D79" s="207">
        <f>'1. BRIEFING'!D88</f>
        <v>1</v>
      </c>
      <c r="E79" s="37"/>
      <c r="F79" s="37"/>
      <c r="G79" s="37"/>
      <c r="H79" s="37"/>
      <c r="I79" s="37"/>
      <c r="J79" s="37"/>
      <c r="K79" s="37"/>
      <c r="L79" s="37"/>
      <c r="M79" s="203"/>
      <c r="N79" s="37"/>
      <c r="O79" s="37">
        <v>8</v>
      </c>
      <c r="P79" s="204" t="e">
        <f t="shared" si="79"/>
        <v>#DIV/0!</v>
      </c>
      <c r="Q79" s="37"/>
      <c r="R79" s="204" t="e">
        <f t="shared" si="80"/>
        <v>#DIV/0!</v>
      </c>
      <c r="S79" s="204" t="e">
        <f t="shared" ref="S79:Z79" si="86">E79*$R79</f>
        <v>#DIV/0!</v>
      </c>
      <c r="T79" s="204" t="e">
        <f t="shared" si="86"/>
        <v>#DIV/0!</v>
      </c>
      <c r="U79" s="204" t="e">
        <f t="shared" si="86"/>
        <v>#DIV/0!</v>
      </c>
      <c r="V79" s="205" t="e">
        <f t="shared" si="86"/>
        <v>#DIV/0!</v>
      </c>
      <c r="W79" s="204" t="e">
        <f t="shared" si="86"/>
        <v>#DIV/0!</v>
      </c>
      <c r="X79" s="204" t="e">
        <f t="shared" si="86"/>
        <v>#DIV/0!</v>
      </c>
      <c r="Y79" s="204" t="e">
        <f t="shared" si="86"/>
        <v>#DIV/0!</v>
      </c>
      <c r="Z79" s="204" t="e">
        <f t="shared" si="86"/>
        <v>#DIV/0!</v>
      </c>
      <c r="AA79" s="196" t="e">
        <f t="shared" si="3"/>
        <v>#DIV/0!</v>
      </c>
      <c r="AB79" s="101"/>
      <c r="AC79" s="128"/>
    </row>
    <row r="80" spans="1:29" ht="14.4" x14ac:dyDescent="0.3">
      <c r="A80" s="193"/>
      <c r="B80" s="198" t="str">
        <f>'1. BRIEFING'!B96</f>
        <v xml:space="preserve">LIMPEZA FINAL </v>
      </c>
      <c r="C80" s="199"/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9"/>
      <c r="Y80" s="199"/>
      <c r="Z80" s="199"/>
      <c r="AA80" s="196" t="e">
        <f t="shared" si="3"/>
        <v>#DIV/0!</v>
      </c>
      <c r="AB80" s="101"/>
      <c r="AC80" s="128"/>
    </row>
    <row r="81" spans="1:29" ht="14.4" x14ac:dyDescent="0.3">
      <c r="A81" s="193"/>
      <c r="B81" s="201" t="str">
        <f>'1. BRIEFING'!B97</f>
        <v>LIMPEZA FINAL DA OBRA</v>
      </c>
      <c r="C81" s="202" t="str">
        <f>'1. BRIEFING'!C90</f>
        <v>M2</v>
      </c>
      <c r="D81" s="207">
        <f>'1. BRIEFING'!D90</f>
        <v>1</v>
      </c>
      <c r="E81" s="37"/>
      <c r="F81" s="37"/>
      <c r="G81" s="37"/>
      <c r="H81" s="37"/>
      <c r="I81" s="37"/>
      <c r="J81" s="37"/>
      <c r="K81" s="37"/>
      <c r="L81" s="37"/>
      <c r="M81" s="203"/>
      <c r="N81" s="37"/>
      <c r="O81" s="37">
        <v>8</v>
      </c>
      <c r="P81" s="204" t="e">
        <f t="shared" ref="P81:P107" si="87">ROUNDUP(AA81,0)</f>
        <v>#DIV/0!</v>
      </c>
      <c r="Q81" s="37"/>
      <c r="R81" s="204" t="e">
        <f t="shared" ref="R81:R107" si="88">P81/Q81</f>
        <v>#DIV/0!</v>
      </c>
      <c r="S81" s="204" t="e">
        <f t="shared" ref="S81:Z81" si="89">E81*$R81</f>
        <v>#DIV/0!</v>
      </c>
      <c r="T81" s="204" t="e">
        <f t="shared" si="89"/>
        <v>#DIV/0!</v>
      </c>
      <c r="U81" s="204" t="e">
        <f t="shared" si="89"/>
        <v>#DIV/0!</v>
      </c>
      <c r="V81" s="205" t="e">
        <f t="shared" si="89"/>
        <v>#DIV/0!</v>
      </c>
      <c r="W81" s="204" t="e">
        <f t="shared" si="89"/>
        <v>#DIV/0!</v>
      </c>
      <c r="X81" s="204" t="e">
        <f t="shared" si="89"/>
        <v>#DIV/0!</v>
      </c>
      <c r="Y81" s="204" t="e">
        <f t="shared" si="89"/>
        <v>#DIV/0!</v>
      </c>
      <c r="Z81" s="204" t="e">
        <f t="shared" si="89"/>
        <v>#DIV/0!</v>
      </c>
      <c r="AA81" s="196" t="e">
        <f t="shared" si="3"/>
        <v>#DIV/0!</v>
      </c>
      <c r="AB81" s="101"/>
      <c r="AC81" s="128"/>
    </row>
    <row r="82" spans="1:29" ht="14.4" x14ac:dyDescent="0.3">
      <c r="A82" s="193"/>
      <c r="B82" s="201" t="str">
        <f>'1. BRIEFING'!B98</f>
        <v>REMOÇÃO DE ENTULHOS GERADOS PELA OBRA POR CARRO PEQUENOS</v>
      </c>
      <c r="C82" s="202" t="str">
        <f>'1. BRIEFING'!C91</f>
        <v>M2</v>
      </c>
      <c r="D82" s="207">
        <f>'1. BRIEFING'!D91</f>
        <v>1</v>
      </c>
      <c r="E82" s="37"/>
      <c r="F82" s="37"/>
      <c r="G82" s="37"/>
      <c r="H82" s="37"/>
      <c r="I82" s="37"/>
      <c r="J82" s="37"/>
      <c r="K82" s="37"/>
      <c r="L82" s="37"/>
      <c r="M82" s="203"/>
      <c r="N82" s="37"/>
      <c r="O82" s="37">
        <v>8</v>
      </c>
      <c r="P82" s="204" t="e">
        <f t="shared" si="87"/>
        <v>#DIV/0!</v>
      </c>
      <c r="Q82" s="37"/>
      <c r="R82" s="204" t="e">
        <f t="shared" si="88"/>
        <v>#DIV/0!</v>
      </c>
      <c r="S82" s="204" t="e">
        <f t="shared" ref="S82:Z82" si="90">E82*$R82</f>
        <v>#DIV/0!</v>
      </c>
      <c r="T82" s="204" t="e">
        <f t="shared" si="90"/>
        <v>#DIV/0!</v>
      </c>
      <c r="U82" s="204" t="e">
        <f t="shared" si="90"/>
        <v>#DIV/0!</v>
      </c>
      <c r="V82" s="205" t="e">
        <f t="shared" si="90"/>
        <v>#DIV/0!</v>
      </c>
      <c r="W82" s="204" t="e">
        <f t="shared" si="90"/>
        <v>#DIV/0!</v>
      </c>
      <c r="X82" s="204" t="e">
        <f t="shared" si="90"/>
        <v>#DIV/0!</v>
      </c>
      <c r="Y82" s="204" t="e">
        <f t="shared" si="90"/>
        <v>#DIV/0!</v>
      </c>
      <c r="Z82" s="204" t="e">
        <f t="shared" si="90"/>
        <v>#DIV/0!</v>
      </c>
      <c r="AA82" s="196" t="e">
        <f t="shared" si="3"/>
        <v>#DIV/0!</v>
      </c>
      <c r="AB82" s="101"/>
      <c r="AC82" s="128"/>
    </row>
    <row r="83" spans="1:29" ht="14.4" x14ac:dyDescent="0.3">
      <c r="A83" s="193"/>
      <c r="B83" s="201">
        <f>'1. BRIEFING'!B99</f>
        <v>0</v>
      </c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203"/>
      <c r="N83" s="37"/>
      <c r="O83" s="37"/>
      <c r="P83" s="204" t="e">
        <f t="shared" si="87"/>
        <v>#DIV/0!</v>
      </c>
      <c r="Q83" s="37"/>
      <c r="R83" s="204" t="e">
        <f t="shared" si="88"/>
        <v>#DIV/0!</v>
      </c>
      <c r="S83" s="204" t="e">
        <f t="shared" ref="S83:Z83" si="91">E83*$R83</f>
        <v>#DIV/0!</v>
      </c>
      <c r="T83" s="204" t="e">
        <f t="shared" si="91"/>
        <v>#DIV/0!</v>
      </c>
      <c r="U83" s="204" t="e">
        <f t="shared" si="91"/>
        <v>#DIV/0!</v>
      </c>
      <c r="V83" s="205" t="e">
        <f t="shared" si="91"/>
        <v>#DIV/0!</v>
      </c>
      <c r="W83" s="204" t="e">
        <f t="shared" si="91"/>
        <v>#DIV/0!</v>
      </c>
      <c r="X83" s="204" t="e">
        <f t="shared" si="91"/>
        <v>#DIV/0!</v>
      </c>
      <c r="Y83" s="204" t="e">
        <f t="shared" si="91"/>
        <v>#DIV/0!</v>
      </c>
      <c r="Z83" s="204" t="e">
        <f t="shared" si="91"/>
        <v>#DIV/0!</v>
      </c>
      <c r="AA83" s="196" t="e">
        <f t="shared" si="3"/>
        <v>#DIV/0!</v>
      </c>
      <c r="AB83" s="101"/>
      <c r="AC83" s="128"/>
    </row>
    <row r="84" spans="1:29" ht="14.4" x14ac:dyDescent="0.3">
      <c r="A84" s="193"/>
      <c r="B84" s="201">
        <f>'1. BRIEFING'!B100</f>
        <v>0</v>
      </c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203"/>
      <c r="N84" s="37"/>
      <c r="O84" s="37"/>
      <c r="P84" s="204" t="e">
        <f t="shared" si="87"/>
        <v>#DIV/0!</v>
      </c>
      <c r="Q84" s="37"/>
      <c r="R84" s="204" t="e">
        <f t="shared" si="88"/>
        <v>#DIV/0!</v>
      </c>
      <c r="S84" s="204" t="e">
        <f t="shared" ref="S84:Z84" si="92">E84*$R84</f>
        <v>#DIV/0!</v>
      </c>
      <c r="T84" s="204" t="e">
        <f t="shared" si="92"/>
        <v>#DIV/0!</v>
      </c>
      <c r="U84" s="204" t="e">
        <f t="shared" si="92"/>
        <v>#DIV/0!</v>
      </c>
      <c r="V84" s="205" t="e">
        <f t="shared" si="92"/>
        <v>#DIV/0!</v>
      </c>
      <c r="W84" s="204" t="e">
        <f t="shared" si="92"/>
        <v>#DIV/0!</v>
      </c>
      <c r="X84" s="204" t="e">
        <f t="shared" si="92"/>
        <v>#DIV/0!</v>
      </c>
      <c r="Y84" s="204" t="e">
        <f t="shared" si="92"/>
        <v>#DIV/0!</v>
      </c>
      <c r="Z84" s="204" t="e">
        <f t="shared" si="92"/>
        <v>#DIV/0!</v>
      </c>
      <c r="AA84" s="196" t="e">
        <f t="shared" si="3"/>
        <v>#DIV/0!</v>
      </c>
      <c r="AB84" s="101"/>
      <c r="AC84" s="128"/>
    </row>
    <row r="85" spans="1:29" ht="14.4" x14ac:dyDescent="0.3">
      <c r="A85" s="193"/>
      <c r="B85" s="201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203"/>
      <c r="N85" s="37"/>
      <c r="O85" s="37"/>
      <c r="P85" s="204" t="e">
        <f t="shared" si="87"/>
        <v>#DIV/0!</v>
      </c>
      <c r="Q85" s="37"/>
      <c r="R85" s="204" t="e">
        <f t="shared" si="88"/>
        <v>#DIV/0!</v>
      </c>
      <c r="S85" s="204" t="e">
        <f t="shared" ref="S85:Z85" si="93">E85*$R85</f>
        <v>#DIV/0!</v>
      </c>
      <c r="T85" s="204" t="e">
        <f t="shared" si="93"/>
        <v>#DIV/0!</v>
      </c>
      <c r="U85" s="204" t="e">
        <f t="shared" si="93"/>
        <v>#DIV/0!</v>
      </c>
      <c r="V85" s="205" t="e">
        <f t="shared" si="93"/>
        <v>#DIV/0!</v>
      </c>
      <c r="W85" s="204" t="e">
        <f t="shared" si="93"/>
        <v>#DIV/0!</v>
      </c>
      <c r="X85" s="204" t="e">
        <f t="shared" si="93"/>
        <v>#DIV/0!</v>
      </c>
      <c r="Y85" s="204" t="e">
        <f t="shared" si="93"/>
        <v>#DIV/0!</v>
      </c>
      <c r="Z85" s="204" t="e">
        <f t="shared" si="93"/>
        <v>#DIV/0!</v>
      </c>
      <c r="AA85" s="196" t="e">
        <f t="shared" si="3"/>
        <v>#DIV/0!</v>
      </c>
      <c r="AB85" s="101"/>
      <c r="AC85" s="128"/>
    </row>
    <row r="86" spans="1:29" ht="14.4" x14ac:dyDescent="0.3">
      <c r="A86" s="193"/>
      <c r="B86" s="201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203"/>
      <c r="N86" s="37"/>
      <c r="O86" s="37"/>
      <c r="P86" s="204" t="e">
        <f t="shared" si="87"/>
        <v>#DIV/0!</v>
      </c>
      <c r="Q86" s="37"/>
      <c r="R86" s="204" t="e">
        <f t="shared" si="88"/>
        <v>#DIV/0!</v>
      </c>
      <c r="S86" s="204" t="e">
        <f t="shared" ref="S86:Z86" si="94">E86*$R86</f>
        <v>#DIV/0!</v>
      </c>
      <c r="T86" s="204" t="e">
        <f t="shared" si="94"/>
        <v>#DIV/0!</v>
      </c>
      <c r="U86" s="204" t="e">
        <f t="shared" si="94"/>
        <v>#DIV/0!</v>
      </c>
      <c r="V86" s="205" t="e">
        <f t="shared" si="94"/>
        <v>#DIV/0!</v>
      </c>
      <c r="W86" s="204" t="e">
        <f t="shared" si="94"/>
        <v>#DIV/0!</v>
      </c>
      <c r="X86" s="204" t="e">
        <f t="shared" si="94"/>
        <v>#DIV/0!</v>
      </c>
      <c r="Y86" s="204" t="e">
        <f t="shared" si="94"/>
        <v>#DIV/0!</v>
      </c>
      <c r="Z86" s="204" t="e">
        <f t="shared" si="94"/>
        <v>#DIV/0!</v>
      </c>
      <c r="AA86" s="196" t="e">
        <f t="shared" si="3"/>
        <v>#DIV/0!</v>
      </c>
      <c r="AB86" s="101"/>
      <c r="AC86" s="128"/>
    </row>
    <row r="87" spans="1:29" ht="14.4" x14ac:dyDescent="0.3">
      <c r="A87" s="193"/>
      <c r="B87" s="201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203"/>
      <c r="N87" s="37"/>
      <c r="O87" s="37"/>
      <c r="P87" s="204" t="e">
        <f t="shared" si="87"/>
        <v>#DIV/0!</v>
      </c>
      <c r="Q87" s="37"/>
      <c r="R87" s="204" t="e">
        <f t="shared" si="88"/>
        <v>#DIV/0!</v>
      </c>
      <c r="S87" s="204" t="e">
        <f t="shared" ref="S87:Z87" si="95">E87*$R87</f>
        <v>#DIV/0!</v>
      </c>
      <c r="T87" s="204" t="e">
        <f t="shared" si="95"/>
        <v>#DIV/0!</v>
      </c>
      <c r="U87" s="204" t="e">
        <f t="shared" si="95"/>
        <v>#DIV/0!</v>
      </c>
      <c r="V87" s="205" t="e">
        <f t="shared" si="95"/>
        <v>#DIV/0!</v>
      </c>
      <c r="W87" s="204" t="e">
        <f t="shared" si="95"/>
        <v>#DIV/0!</v>
      </c>
      <c r="X87" s="204" t="e">
        <f t="shared" si="95"/>
        <v>#DIV/0!</v>
      </c>
      <c r="Y87" s="204" t="e">
        <f t="shared" si="95"/>
        <v>#DIV/0!</v>
      </c>
      <c r="Z87" s="204" t="e">
        <f t="shared" si="95"/>
        <v>#DIV/0!</v>
      </c>
      <c r="AA87" s="196" t="e">
        <f t="shared" si="3"/>
        <v>#DIV/0!</v>
      </c>
      <c r="AB87" s="101"/>
      <c r="AC87" s="128"/>
    </row>
    <row r="88" spans="1:29" ht="14.4" x14ac:dyDescent="0.3">
      <c r="A88" s="193"/>
      <c r="B88" s="201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203"/>
      <c r="N88" s="37"/>
      <c r="O88" s="37"/>
      <c r="P88" s="204" t="e">
        <f t="shared" si="87"/>
        <v>#DIV/0!</v>
      </c>
      <c r="Q88" s="37"/>
      <c r="R88" s="204" t="e">
        <f t="shared" si="88"/>
        <v>#DIV/0!</v>
      </c>
      <c r="S88" s="204" t="e">
        <f t="shared" ref="S88:Z88" si="96">E88*$R88</f>
        <v>#DIV/0!</v>
      </c>
      <c r="T88" s="204" t="e">
        <f t="shared" si="96"/>
        <v>#DIV/0!</v>
      </c>
      <c r="U88" s="204" t="e">
        <f t="shared" si="96"/>
        <v>#DIV/0!</v>
      </c>
      <c r="V88" s="205" t="e">
        <f t="shared" si="96"/>
        <v>#DIV/0!</v>
      </c>
      <c r="W88" s="204" t="e">
        <f t="shared" si="96"/>
        <v>#DIV/0!</v>
      </c>
      <c r="X88" s="204" t="e">
        <f t="shared" si="96"/>
        <v>#DIV/0!</v>
      </c>
      <c r="Y88" s="204" t="e">
        <f t="shared" si="96"/>
        <v>#DIV/0!</v>
      </c>
      <c r="Z88" s="204" t="e">
        <f t="shared" si="96"/>
        <v>#DIV/0!</v>
      </c>
      <c r="AA88" s="196" t="e">
        <f t="shared" si="3"/>
        <v>#DIV/0!</v>
      </c>
      <c r="AB88" s="101"/>
      <c r="AC88" s="128"/>
    </row>
    <row r="89" spans="1:29" ht="14.4" x14ac:dyDescent="0.3">
      <c r="A89" s="193"/>
      <c r="B89" s="201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203"/>
      <c r="N89" s="37"/>
      <c r="O89" s="37"/>
      <c r="P89" s="204" t="e">
        <f t="shared" si="87"/>
        <v>#DIV/0!</v>
      </c>
      <c r="Q89" s="37"/>
      <c r="R89" s="204" t="e">
        <f t="shared" si="88"/>
        <v>#DIV/0!</v>
      </c>
      <c r="S89" s="204" t="e">
        <f t="shared" ref="S89:Z89" si="97">E89*$R89</f>
        <v>#DIV/0!</v>
      </c>
      <c r="T89" s="204" t="e">
        <f t="shared" si="97"/>
        <v>#DIV/0!</v>
      </c>
      <c r="U89" s="204" t="e">
        <f t="shared" si="97"/>
        <v>#DIV/0!</v>
      </c>
      <c r="V89" s="205" t="e">
        <f t="shared" si="97"/>
        <v>#DIV/0!</v>
      </c>
      <c r="W89" s="204" t="e">
        <f t="shared" si="97"/>
        <v>#DIV/0!</v>
      </c>
      <c r="X89" s="204" t="e">
        <f t="shared" si="97"/>
        <v>#DIV/0!</v>
      </c>
      <c r="Y89" s="204" t="e">
        <f t="shared" si="97"/>
        <v>#DIV/0!</v>
      </c>
      <c r="Z89" s="204" t="e">
        <f t="shared" si="97"/>
        <v>#DIV/0!</v>
      </c>
      <c r="AA89" s="196" t="e">
        <f t="shared" si="3"/>
        <v>#DIV/0!</v>
      </c>
      <c r="AB89" s="101"/>
      <c r="AC89" s="128"/>
    </row>
    <row r="90" spans="1:29" ht="14.4" x14ac:dyDescent="0.3">
      <c r="A90" s="193"/>
      <c r="B90" s="201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203"/>
      <c r="N90" s="37"/>
      <c r="O90" s="37"/>
      <c r="P90" s="204" t="e">
        <f t="shared" si="87"/>
        <v>#DIV/0!</v>
      </c>
      <c r="Q90" s="37"/>
      <c r="R90" s="204" t="e">
        <f t="shared" si="88"/>
        <v>#DIV/0!</v>
      </c>
      <c r="S90" s="204" t="e">
        <f t="shared" ref="S90:Z90" si="98">E90*$R90</f>
        <v>#DIV/0!</v>
      </c>
      <c r="T90" s="204" t="e">
        <f t="shared" si="98"/>
        <v>#DIV/0!</v>
      </c>
      <c r="U90" s="204" t="e">
        <f t="shared" si="98"/>
        <v>#DIV/0!</v>
      </c>
      <c r="V90" s="205" t="e">
        <f t="shared" si="98"/>
        <v>#DIV/0!</v>
      </c>
      <c r="W90" s="204" t="e">
        <f t="shared" si="98"/>
        <v>#DIV/0!</v>
      </c>
      <c r="X90" s="204" t="e">
        <f t="shared" si="98"/>
        <v>#DIV/0!</v>
      </c>
      <c r="Y90" s="204" t="e">
        <f t="shared" si="98"/>
        <v>#DIV/0!</v>
      </c>
      <c r="Z90" s="204" t="e">
        <f t="shared" si="98"/>
        <v>#DIV/0!</v>
      </c>
      <c r="AA90" s="196" t="e">
        <f t="shared" si="3"/>
        <v>#DIV/0!</v>
      </c>
      <c r="AB90" s="101"/>
      <c r="AC90" s="128"/>
    </row>
    <row r="91" spans="1:29" ht="14.4" x14ac:dyDescent="0.3">
      <c r="A91" s="193"/>
      <c r="B91" s="201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203"/>
      <c r="N91" s="37"/>
      <c r="O91" s="37"/>
      <c r="P91" s="204" t="e">
        <f t="shared" si="87"/>
        <v>#DIV/0!</v>
      </c>
      <c r="Q91" s="37"/>
      <c r="R91" s="204" t="e">
        <f t="shared" si="88"/>
        <v>#DIV/0!</v>
      </c>
      <c r="S91" s="204" t="e">
        <f t="shared" ref="S91:Z91" si="99">E91*$R91</f>
        <v>#DIV/0!</v>
      </c>
      <c r="T91" s="204" t="e">
        <f t="shared" si="99"/>
        <v>#DIV/0!</v>
      </c>
      <c r="U91" s="204" t="e">
        <f t="shared" si="99"/>
        <v>#DIV/0!</v>
      </c>
      <c r="V91" s="205" t="e">
        <f t="shared" si="99"/>
        <v>#DIV/0!</v>
      </c>
      <c r="W91" s="204" t="e">
        <f t="shared" si="99"/>
        <v>#DIV/0!</v>
      </c>
      <c r="X91" s="204" t="e">
        <f t="shared" si="99"/>
        <v>#DIV/0!</v>
      </c>
      <c r="Y91" s="204" t="e">
        <f t="shared" si="99"/>
        <v>#DIV/0!</v>
      </c>
      <c r="Z91" s="204" t="e">
        <f t="shared" si="99"/>
        <v>#DIV/0!</v>
      </c>
      <c r="AA91" s="196" t="e">
        <f t="shared" si="3"/>
        <v>#DIV/0!</v>
      </c>
      <c r="AB91" s="101"/>
      <c r="AC91" s="128"/>
    </row>
    <row r="92" spans="1:29" ht="14.4" x14ac:dyDescent="0.3">
      <c r="A92" s="193"/>
      <c r="B92" s="201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203"/>
      <c r="N92" s="37"/>
      <c r="O92" s="37"/>
      <c r="P92" s="204" t="e">
        <f t="shared" si="87"/>
        <v>#DIV/0!</v>
      </c>
      <c r="Q92" s="37"/>
      <c r="R92" s="204" t="e">
        <f t="shared" si="88"/>
        <v>#DIV/0!</v>
      </c>
      <c r="S92" s="204" t="e">
        <f t="shared" ref="S92:Z92" si="100">E92*$R92</f>
        <v>#DIV/0!</v>
      </c>
      <c r="T92" s="204" t="e">
        <f t="shared" si="100"/>
        <v>#DIV/0!</v>
      </c>
      <c r="U92" s="204" t="e">
        <f t="shared" si="100"/>
        <v>#DIV/0!</v>
      </c>
      <c r="V92" s="205" t="e">
        <f t="shared" si="100"/>
        <v>#DIV/0!</v>
      </c>
      <c r="W92" s="204" t="e">
        <f t="shared" si="100"/>
        <v>#DIV/0!</v>
      </c>
      <c r="X92" s="204" t="e">
        <f t="shared" si="100"/>
        <v>#DIV/0!</v>
      </c>
      <c r="Y92" s="204" t="e">
        <f t="shared" si="100"/>
        <v>#DIV/0!</v>
      </c>
      <c r="Z92" s="204" t="e">
        <f t="shared" si="100"/>
        <v>#DIV/0!</v>
      </c>
      <c r="AA92" s="196" t="e">
        <f t="shared" si="3"/>
        <v>#DIV/0!</v>
      </c>
      <c r="AB92" s="101"/>
      <c r="AC92" s="128"/>
    </row>
    <row r="93" spans="1:29" ht="14.4" x14ac:dyDescent="0.3">
      <c r="A93" s="193"/>
      <c r="B93" s="201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203"/>
      <c r="N93" s="37"/>
      <c r="O93" s="37"/>
      <c r="P93" s="204" t="e">
        <f t="shared" si="87"/>
        <v>#DIV/0!</v>
      </c>
      <c r="Q93" s="37"/>
      <c r="R93" s="204" t="e">
        <f t="shared" si="88"/>
        <v>#DIV/0!</v>
      </c>
      <c r="S93" s="204" t="e">
        <f t="shared" ref="S93:Z93" si="101">E93*$R93</f>
        <v>#DIV/0!</v>
      </c>
      <c r="T93" s="204" t="e">
        <f t="shared" si="101"/>
        <v>#DIV/0!</v>
      </c>
      <c r="U93" s="204" t="e">
        <f t="shared" si="101"/>
        <v>#DIV/0!</v>
      </c>
      <c r="V93" s="205" t="e">
        <f t="shared" si="101"/>
        <v>#DIV/0!</v>
      </c>
      <c r="W93" s="204" t="e">
        <f t="shared" si="101"/>
        <v>#DIV/0!</v>
      </c>
      <c r="X93" s="204" t="e">
        <f t="shared" si="101"/>
        <v>#DIV/0!</v>
      </c>
      <c r="Y93" s="204" t="e">
        <f t="shared" si="101"/>
        <v>#DIV/0!</v>
      </c>
      <c r="Z93" s="204" t="e">
        <f t="shared" si="101"/>
        <v>#DIV/0!</v>
      </c>
      <c r="AA93" s="196" t="e">
        <f t="shared" si="3"/>
        <v>#DIV/0!</v>
      </c>
      <c r="AB93" s="101"/>
      <c r="AC93" s="128"/>
    </row>
    <row r="94" spans="1:29" ht="14.4" x14ac:dyDescent="0.3">
      <c r="A94" s="193"/>
      <c r="B94" s="201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203"/>
      <c r="N94" s="37"/>
      <c r="O94" s="37"/>
      <c r="P94" s="204" t="e">
        <f t="shared" si="87"/>
        <v>#DIV/0!</v>
      </c>
      <c r="Q94" s="37"/>
      <c r="R94" s="204" t="e">
        <f t="shared" si="88"/>
        <v>#DIV/0!</v>
      </c>
      <c r="S94" s="204" t="e">
        <f t="shared" ref="S94:Z94" si="102">E94*$R94</f>
        <v>#DIV/0!</v>
      </c>
      <c r="T94" s="204" t="e">
        <f t="shared" si="102"/>
        <v>#DIV/0!</v>
      </c>
      <c r="U94" s="204" t="e">
        <f t="shared" si="102"/>
        <v>#DIV/0!</v>
      </c>
      <c r="V94" s="205" t="e">
        <f t="shared" si="102"/>
        <v>#DIV/0!</v>
      </c>
      <c r="W94" s="204" t="e">
        <f t="shared" si="102"/>
        <v>#DIV/0!</v>
      </c>
      <c r="X94" s="204" t="e">
        <f t="shared" si="102"/>
        <v>#DIV/0!</v>
      </c>
      <c r="Y94" s="204" t="e">
        <f t="shared" si="102"/>
        <v>#DIV/0!</v>
      </c>
      <c r="Z94" s="204" t="e">
        <f t="shared" si="102"/>
        <v>#DIV/0!</v>
      </c>
      <c r="AA94" s="196" t="e">
        <f t="shared" si="3"/>
        <v>#DIV/0!</v>
      </c>
      <c r="AB94" s="101"/>
      <c r="AC94" s="128"/>
    </row>
    <row r="95" spans="1:29" ht="14.4" x14ac:dyDescent="0.3">
      <c r="A95" s="193"/>
      <c r="B95" s="201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203"/>
      <c r="N95" s="37"/>
      <c r="O95" s="37"/>
      <c r="P95" s="204" t="e">
        <f t="shared" si="87"/>
        <v>#DIV/0!</v>
      </c>
      <c r="Q95" s="37"/>
      <c r="R95" s="204" t="e">
        <f t="shared" si="88"/>
        <v>#DIV/0!</v>
      </c>
      <c r="S95" s="204" t="e">
        <f t="shared" ref="S95:Z95" si="103">E95*$R95</f>
        <v>#DIV/0!</v>
      </c>
      <c r="T95" s="204" t="e">
        <f t="shared" si="103"/>
        <v>#DIV/0!</v>
      </c>
      <c r="U95" s="204" t="e">
        <f t="shared" si="103"/>
        <v>#DIV/0!</v>
      </c>
      <c r="V95" s="205" t="e">
        <f t="shared" si="103"/>
        <v>#DIV/0!</v>
      </c>
      <c r="W95" s="204" t="e">
        <f t="shared" si="103"/>
        <v>#DIV/0!</v>
      </c>
      <c r="X95" s="204" t="e">
        <f t="shared" si="103"/>
        <v>#DIV/0!</v>
      </c>
      <c r="Y95" s="204" t="e">
        <f t="shared" si="103"/>
        <v>#DIV/0!</v>
      </c>
      <c r="Z95" s="204" t="e">
        <f t="shared" si="103"/>
        <v>#DIV/0!</v>
      </c>
      <c r="AA95" s="196" t="e">
        <f t="shared" si="3"/>
        <v>#DIV/0!</v>
      </c>
      <c r="AB95" s="101"/>
      <c r="AC95" s="128"/>
    </row>
    <row r="96" spans="1:29" ht="14.4" x14ac:dyDescent="0.3">
      <c r="A96" s="193"/>
      <c r="B96" s="201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203"/>
      <c r="N96" s="37"/>
      <c r="O96" s="37"/>
      <c r="P96" s="204" t="e">
        <f t="shared" si="87"/>
        <v>#DIV/0!</v>
      </c>
      <c r="Q96" s="37"/>
      <c r="R96" s="204" t="e">
        <f t="shared" si="88"/>
        <v>#DIV/0!</v>
      </c>
      <c r="S96" s="204" t="e">
        <f t="shared" ref="S96:Z96" si="104">E96*$R96</f>
        <v>#DIV/0!</v>
      </c>
      <c r="T96" s="204" t="e">
        <f t="shared" si="104"/>
        <v>#DIV/0!</v>
      </c>
      <c r="U96" s="204" t="e">
        <f t="shared" si="104"/>
        <v>#DIV/0!</v>
      </c>
      <c r="V96" s="205" t="e">
        <f t="shared" si="104"/>
        <v>#DIV/0!</v>
      </c>
      <c r="W96" s="204" t="e">
        <f t="shared" si="104"/>
        <v>#DIV/0!</v>
      </c>
      <c r="X96" s="204" t="e">
        <f t="shared" si="104"/>
        <v>#DIV/0!</v>
      </c>
      <c r="Y96" s="204" t="e">
        <f t="shared" si="104"/>
        <v>#DIV/0!</v>
      </c>
      <c r="Z96" s="204" t="e">
        <f t="shared" si="104"/>
        <v>#DIV/0!</v>
      </c>
      <c r="AA96" s="196" t="e">
        <f t="shared" si="3"/>
        <v>#DIV/0!</v>
      </c>
      <c r="AB96" s="101"/>
      <c r="AC96" s="128"/>
    </row>
    <row r="97" spans="1:29" ht="14.4" x14ac:dyDescent="0.3">
      <c r="A97" s="193"/>
      <c r="B97" s="201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203"/>
      <c r="N97" s="37"/>
      <c r="O97" s="37"/>
      <c r="P97" s="204" t="e">
        <f t="shared" si="87"/>
        <v>#DIV/0!</v>
      </c>
      <c r="Q97" s="37"/>
      <c r="R97" s="204" t="e">
        <f t="shared" si="88"/>
        <v>#DIV/0!</v>
      </c>
      <c r="S97" s="204" t="e">
        <f t="shared" ref="S97:Z97" si="105">E97*$R97</f>
        <v>#DIV/0!</v>
      </c>
      <c r="T97" s="204" t="e">
        <f t="shared" si="105"/>
        <v>#DIV/0!</v>
      </c>
      <c r="U97" s="204" t="e">
        <f t="shared" si="105"/>
        <v>#DIV/0!</v>
      </c>
      <c r="V97" s="205" t="e">
        <f t="shared" si="105"/>
        <v>#DIV/0!</v>
      </c>
      <c r="W97" s="204" t="e">
        <f t="shared" si="105"/>
        <v>#DIV/0!</v>
      </c>
      <c r="X97" s="204" t="e">
        <f t="shared" si="105"/>
        <v>#DIV/0!</v>
      </c>
      <c r="Y97" s="204" t="e">
        <f t="shared" si="105"/>
        <v>#DIV/0!</v>
      </c>
      <c r="Z97" s="204" t="e">
        <f t="shared" si="105"/>
        <v>#DIV/0!</v>
      </c>
      <c r="AA97" s="196" t="e">
        <f t="shared" si="3"/>
        <v>#DIV/0!</v>
      </c>
      <c r="AB97" s="101"/>
      <c r="AC97" s="128"/>
    </row>
    <row r="98" spans="1:29" ht="14.4" x14ac:dyDescent="0.3">
      <c r="A98" s="193"/>
      <c r="B98" s="201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203"/>
      <c r="N98" s="37"/>
      <c r="O98" s="37"/>
      <c r="P98" s="204" t="e">
        <f t="shared" si="87"/>
        <v>#DIV/0!</v>
      </c>
      <c r="Q98" s="37"/>
      <c r="R98" s="204" t="e">
        <f t="shared" si="88"/>
        <v>#DIV/0!</v>
      </c>
      <c r="S98" s="204" t="e">
        <f t="shared" ref="S98:Z98" si="106">E98*$R98</f>
        <v>#DIV/0!</v>
      </c>
      <c r="T98" s="204" t="e">
        <f t="shared" si="106"/>
        <v>#DIV/0!</v>
      </c>
      <c r="U98" s="204" t="e">
        <f t="shared" si="106"/>
        <v>#DIV/0!</v>
      </c>
      <c r="V98" s="205" t="e">
        <f t="shared" si="106"/>
        <v>#DIV/0!</v>
      </c>
      <c r="W98" s="204" t="e">
        <f t="shared" si="106"/>
        <v>#DIV/0!</v>
      </c>
      <c r="X98" s="204" t="e">
        <f t="shared" si="106"/>
        <v>#DIV/0!</v>
      </c>
      <c r="Y98" s="204" t="e">
        <f t="shared" si="106"/>
        <v>#DIV/0!</v>
      </c>
      <c r="Z98" s="204" t="e">
        <f t="shared" si="106"/>
        <v>#DIV/0!</v>
      </c>
      <c r="AA98" s="196" t="e">
        <f t="shared" si="3"/>
        <v>#DIV/0!</v>
      </c>
      <c r="AB98" s="101"/>
      <c r="AC98" s="128"/>
    </row>
    <row r="99" spans="1:29" ht="14.4" x14ac:dyDescent="0.3">
      <c r="A99" s="193"/>
      <c r="B99" s="201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203"/>
      <c r="N99" s="37"/>
      <c r="O99" s="37"/>
      <c r="P99" s="204" t="e">
        <f t="shared" si="87"/>
        <v>#DIV/0!</v>
      </c>
      <c r="Q99" s="37"/>
      <c r="R99" s="204" t="e">
        <f t="shared" si="88"/>
        <v>#DIV/0!</v>
      </c>
      <c r="S99" s="204" t="e">
        <f t="shared" ref="S99:Z99" si="107">E99*$R99</f>
        <v>#DIV/0!</v>
      </c>
      <c r="T99" s="204" t="e">
        <f t="shared" si="107"/>
        <v>#DIV/0!</v>
      </c>
      <c r="U99" s="204" t="e">
        <f t="shared" si="107"/>
        <v>#DIV/0!</v>
      </c>
      <c r="V99" s="205" t="e">
        <f t="shared" si="107"/>
        <v>#DIV/0!</v>
      </c>
      <c r="W99" s="204" t="e">
        <f t="shared" si="107"/>
        <v>#DIV/0!</v>
      </c>
      <c r="X99" s="204" t="e">
        <f t="shared" si="107"/>
        <v>#DIV/0!</v>
      </c>
      <c r="Y99" s="204" t="e">
        <f t="shared" si="107"/>
        <v>#DIV/0!</v>
      </c>
      <c r="Z99" s="204" t="e">
        <f t="shared" si="107"/>
        <v>#DIV/0!</v>
      </c>
      <c r="AA99" s="196" t="e">
        <f t="shared" si="3"/>
        <v>#DIV/0!</v>
      </c>
      <c r="AB99" s="101"/>
      <c r="AC99" s="128"/>
    </row>
    <row r="100" spans="1:29" ht="14.4" x14ac:dyDescent="0.3">
      <c r="A100" s="193"/>
      <c r="B100" s="201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203"/>
      <c r="N100" s="37"/>
      <c r="O100" s="37"/>
      <c r="P100" s="204" t="e">
        <f t="shared" si="87"/>
        <v>#DIV/0!</v>
      </c>
      <c r="Q100" s="37"/>
      <c r="R100" s="204" t="e">
        <f t="shared" si="88"/>
        <v>#DIV/0!</v>
      </c>
      <c r="S100" s="204" t="e">
        <f t="shared" ref="S100:Z100" si="108">E100*$R100</f>
        <v>#DIV/0!</v>
      </c>
      <c r="T100" s="204" t="e">
        <f t="shared" si="108"/>
        <v>#DIV/0!</v>
      </c>
      <c r="U100" s="204" t="e">
        <f t="shared" si="108"/>
        <v>#DIV/0!</v>
      </c>
      <c r="V100" s="205" t="e">
        <f t="shared" si="108"/>
        <v>#DIV/0!</v>
      </c>
      <c r="W100" s="204" t="e">
        <f t="shared" si="108"/>
        <v>#DIV/0!</v>
      </c>
      <c r="X100" s="204" t="e">
        <f t="shared" si="108"/>
        <v>#DIV/0!</v>
      </c>
      <c r="Y100" s="204" t="e">
        <f t="shared" si="108"/>
        <v>#DIV/0!</v>
      </c>
      <c r="Z100" s="204" t="e">
        <f t="shared" si="108"/>
        <v>#DIV/0!</v>
      </c>
      <c r="AA100" s="196" t="e">
        <f t="shared" si="3"/>
        <v>#DIV/0!</v>
      </c>
      <c r="AB100" s="101"/>
      <c r="AC100" s="128"/>
    </row>
    <row r="101" spans="1:29" ht="14.4" x14ac:dyDescent="0.3">
      <c r="A101" s="193"/>
      <c r="B101" s="201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203"/>
      <c r="N101" s="37"/>
      <c r="O101" s="37"/>
      <c r="P101" s="204" t="e">
        <f t="shared" si="87"/>
        <v>#DIV/0!</v>
      </c>
      <c r="Q101" s="37"/>
      <c r="R101" s="204" t="e">
        <f t="shared" si="88"/>
        <v>#DIV/0!</v>
      </c>
      <c r="S101" s="204" t="e">
        <f t="shared" ref="S101:Z101" si="109">E101*$R101</f>
        <v>#DIV/0!</v>
      </c>
      <c r="T101" s="204" t="e">
        <f t="shared" si="109"/>
        <v>#DIV/0!</v>
      </c>
      <c r="U101" s="204" t="e">
        <f t="shared" si="109"/>
        <v>#DIV/0!</v>
      </c>
      <c r="V101" s="205" t="e">
        <f t="shared" si="109"/>
        <v>#DIV/0!</v>
      </c>
      <c r="W101" s="204" t="e">
        <f t="shared" si="109"/>
        <v>#DIV/0!</v>
      </c>
      <c r="X101" s="204" t="e">
        <f t="shared" si="109"/>
        <v>#DIV/0!</v>
      </c>
      <c r="Y101" s="204" t="e">
        <f t="shared" si="109"/>
        <v>#DIV/0!</v>
      </c>
      <c r="Z101" s="204" t="e">
        <f t="shared" si="109"/>
        <v>#DIV/0!</v>
      </c>
      <c r="AA101" s="196" t="e">
        <f t="shared" si="3"/>
        <v>#DIV/0!</v>
      </c>
      <c r="AB101" s="101"/>
      <c r="AC101" s="128"/>
    </row>
    <row r="102" spans="1:29" ht="14.4" x14ac:dyDescent="0.3">
      <c r="A102" s="193"/>
      <c r="B102" s="201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203"/>
      <c r="N102" s="37"/>
      <c r="O102" s="37"/>
      <c r="P102" s="204" t="e">
        <f t="shared" si="87"/>
        <v>#DIV/0!</v>
      </c>
      <c r="Q102" s="37"/>
      <c r="R102" s="204" t="e">
        <f t="shared" si="88"/>
        <v>#DIV/0!</v>
      </c>
      <c r="S102" s="204" t="e">
        <f t="shared" ref="S102:Z102" si="110">E102*$R102</f>
        <v>#DIV/0!</v>
      </c>
      <c r="T102" s="204" t="e">
        <f t="shared" si="110"/>
        <v>#DIV/0!</v>
      </c>
      <c r="U102" s="204" t="e">
        <f t="shared" si="110"/>
        <v>#DIV/0!</v>
      </c>
      <c r="V102" s="205" t="e">
        <f t="shared" si="110"/>
        <v>#DIV/0!</v>
      </c>
      <c r="W102" s="204" t="e">
        <f t="shared" si="110"/>
        <v>#DIV/0!</v>
      </c>
      <c r="X102" s="204" t="e">
        <f t="shared" si="110"/>
        <v>#DIV/0!</v>
      </c>
      <c r="Y102" s="204" t="e">
        <f t="shared" si="110"/>
        <v>#DIV/0!</v>
      </c>
      <c r="Z102" s="204" t="e">
        <f t="shared" si="110"/>
        <v>#DIV/0!</v>
      </c>
      <c r="AA102" s="196" t="e">
        <f t="shared" si="3"/>
        <v>#DIV/0!</v>
      </c>
      <c r="AB102" s="101"/>
      <c r="AC102" s="128"/>
    </row>
    <row r="103" spans="1:29" ht="14.4" x14ac:dyDescent="0.3">
      <c r="A103" s="193"/>
      <c r="B103" s="201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203"/>
      <c r="N103" s="37"/>
      <c r="O103" s="37"/>
      <c r="P103" s="204" t="e">
        <f t="shared" si="87"/>
        <v>#DIV/0!</v>
      </c>
      <c r="Q103" s="37"/>
      <c r="R103" s="204" t="e">
        <f t="shared" si="88"/>
        <v>#DIV/0!</v>
      </c>
      <c r="S103" s="204" t="e">
        <f t="shared" ref="S103:Z103" si="111">E103*$R103</f>
        <v>#DIV/0!</v>
      </c>
      <c r="T103" s="204" t="e">
        <f t="shared" si="111"/>
        <v>#DIV/0!</v>
      </c>
      <c r="U103" s="204" t="e">
        <f t="shared" si="111"/>
        <v>#DIV/0!</v>
      </c>
      <c r="V103" s="205" t="e">
        <f t="shared" si="111"/>
        <v>#DIV/0!</v>
      </c>
      <c r="W103" s="204" t="e">
        <f t="shared" si="111"/>
        <v>#DIV/0!</v>
      </c>
      <c r="X103" s="204" t="e">
        <f t="shared" si="111"/>
        <v>#DIV/0!</v>
      </c>
      <c r="Y103" s="204" t="e">
        <f t="shared" si="111"/>
        <v>#DIV/0!</v>
      </c>
      <c r="Z103" s="204" t="e">
        <f t="shared" si="111"/>
        <v>#DIV/0!</v>
      </c>
      <c r="AA103" s="196" t="e">
        <f t="shared" si="3"/>
        <v>#DIV/0!</v>
      </c>
      <c r="AB103" s="101"/>
      <c r="AC103" s="128"/>
    </row>
    <row r="104" spans="1:29" ht="14.4" x14ac:dyDescent="0.3">
      <c r="A104" s="193"/>
      <c r="B104" s="201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203"/>
      <c r="N104" s="37"/>
      <c r="O104" s="37"/>
      <c r="P104" s="204" t="e">
        <f t="shared" si="87"/>
        <v>#DIV/0!</v>
      </c>
      <c r="Q104" s="37"/>
      <c r="R104" s="204" t="e">
        <f t="shared" si="88"/>
        <v>#DIV/0!</v>
      </c>
      <c r="S104" s="204" t="e">
        <f t="shared" ref="S104:Z104" si="112">E104*$R104</f>
        <v>#DIV/0!</v>
      </c>
      <c r="T104" s="204" t="e">
        <f t="shared" si="112"/>
        <v>#DIV/0!</v>
      </c>
      <c r="U104" s="204" t="e">
        <f t="shared" si="112"/>
        <v>#DIV/0!</v>
      </c>
      <c r="V104" s="205" t="e">
        <f t="shared" si="112"/>
        <v>#DIV/0!</v>
      </c>
      <c r="W104" s="204" t="e">
        <f t="shared" si="112"/>
        <v>#DIV/0!</v>
      </c>
      <c r="X104" s="204" t="e">
        <f t="shared" si="112"/>
        <v>#DIV/0!</v>
      </c>
      <c r="Y104" s="204" t="e">
        <f t="shared" si="112"/>
        <v>#DIV/0!</v>
      </c>
      <c r="Z104" s="204" t="e">
        <f t="shared" si="112"/>
        <v>#DIV/0!</v>
      </c>
      <c r="AA104" s="196" t="e">
        <f t="shared" si="3"/>
        <v>#DIV/0!</v>
      </c>
      <c r="AB104" s="101"/>
      <c r="AC104" s="128"/>
    </row>
    <row r="105" spans="1:29" ht="14.4" x14ac:dyDescent="0.3">
      <c r="A105" s="193"/>
      <c r="B105" s="201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203"/>
      <c r="N105" s="37"/>
      <c r="O105" s="37"/>
      <c r="P105" s="204" t="e">
        <f t="shared" si="87"/>
        <v>#DIV/0!</v>
      </c>
      <c r="Q105" s="37"/>
      <c r="R105" s="204" t="e">
        <f t="shared" si="88"/>
        <v>#DIV/0!</v>
      </c>
      <c r="S105" s="204" t="e">
        <f t="shared" ref="S105:Z105" si="113">E105*$R105</f>
        <v>#DIV/0!</v>
      </c>
      <c r="T105" s="204" t="e">
        <f t="shared" si="113"/>
        <v>#DIV/0!</v>
      </c>
      <c r="U105" s="204" t="e">
        <f t="shared" si="113"/>
        <v>#DIV/0!</v>
      </c>
      <c r="V105" s="205" t="e">
        <f t="shared" si="113"/>
        <v>#DIV/0!</v>
      </c>
      <c r="W105" s="204" t="e">
        <f t="shared" si="113"/>
        <v>#DIV/0!</v>
      </c>
      <c r="X105" s="204" t="e">
        <f t="shared" si="113"/>
        <v>#DIV/0!</v>
      </c>
      <c r="Y105" s="204" t="e">
        <f t="shared" si="113"/>
        <v>#DIV/0!</v>
      </c>
      <c r="Z105" s="204" t="e">
        <f t="shared" si="113"/>
        <v>#DIV/0!</v>
      </c>
      <c r="AA105" s="196" t="e">
        <f t="shared" si="3"/>
        <v>#DIV/0!</v>
      </c>
      <c r="AB105" s="101"/>
      <c r="AC105" s="128"/>
    </row>
    <row r="106" spans="1:29" ht="14.4" x14ac:dyDescent="0.3">
      <c r="A106" s="193"/>
      <c r="B106" s="201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203"/>
      <c r="N106" s="37"/>
      <c r="O106" s="37"/>
      <c r="P106" s="204" t="e">
        <f t="shared" si="87"/>
        <v>#DIV/0!</v>
      </c>
      <c r="Q106" s="37"/>
      <c r="R106" s="204" t="e">
        <f t="shared" si="88"/>
        <v>#DIV/0!</v>
      </c>
      <c r="S106" s="204" t="e">
        <f t="shared" ref="S106:Z106" si="114">E106*$R106</f>
        <v>#DIV/0!</v>
      </c>
      <c r="T106" s="204" t="e">
        <f t="shared" si="114"/>
        <v>#DIV/0!</v>
      </c>
      <c r="U106" s="204" t="e">
        <f t="shared" si="114"/>
        <v>#DIV/0!</v>
      </c>
      <c r="V106" s="205" t="e">
        <f t="shared" si="114"/>
        <v>#DIV/0!</v>
      </c>
      <c r="W106" s="204" t="e">
        <f t="shared" si="114"/>
        <v>#DIV/0!</v>
      </c>
      <c r="X106" s="204" t="e">
        <f t="shared" si="114"/>
        <v>#DIV/0!</v>
      </c>
      <c r="Y106" s="204" t="e">
        <f t="shared" si="114"/>
        <v>#DIV/0!</v>
      </c>
      <c r="Z106" s="204" t="e">
        <f t="shared" si="114"/>
        <v>#DIV/0!</v>
      </c>
      <c r="AA106" s="196" t="e">
        <f t="shared" si="3"/>
        <v>#DIV/0!</v>
      </c>
      <c r="AB106" s="101"/>
      <c r="AC106" s="128"/>
    </row>
    <row r="107" spans="1:29" ht="14.4" x14ac:dyDescent="0.3">
      <c r="A107" s="193"/>
      <c r="B107" s="201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203"/>
      <c r="N107" s="37"/>
      <c r="O107" s="37"/>
      <c r="P107" s="204" t="e">
        <f t="shared" si="87"/>
        <v>#DIV/0!</v>
      </c>
      <c r="Q107" s="37"/>
      <c r="R107" s="204" t="e">
        <f t="shared" si="88"/>
        <v>#DIV/0!</v>
      </c>
      <c r="S107" s="204" t="e">
        <f t="shared" ref="S107:Z107" si="115">E107*$R107</f>
        <v>#DIV/0!</v>
      </c>
      <c r="T107" s="204" t="e">
        <f t="shared" si="115"/>
        <v>#DIV/0!</v>
      </c>
      <c r="U107" s="204" t="e">
        <f t="shared" si="115"/>
        <v>#DIV/0!</v>
      </c>
      <c r="V107" s="205" t="e">
        <f t="shared" si="115"/>
        <v>#DIV/0!</v>
      </c>
      <c r="W107" s="204" t="e">
        <f t="shared" si="115"/>
        <v>#DIV/0!</v>
      </c>
      <c r="X107" s="204" t="e">
        <f t="shared" si="115"/>
        <v>#DIV/0!</v>
      </c>
      <c r="Y107" s="204" t="e">
        <f t="shared" si="115"/>
        <v>#DIV/0!</v>
      </c>
      <c r="Z107" s="204" t="e">
        <f t="shared" si="115"/>
        <v>#DIV/0!</v>
      </c>
      <c r="AA107" s="196" t="e">
        <f t="shared" si="3"/>
        <v>#DIV/0!</v>
      </c>
      <c r="AB107" s="101"/>
      <c r="AC107" s="128"/>
    </row>
    <row r="108" spans="1:29" ht="14.4" x14ac:dyDescent="0.3">
      <c r="A108" s="193"/>
      <c r="B108" s="102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94"/>
      <c r="N108" s="128"/>
      <c r="O108" s="101"/>
      <c r="P108" s="195"/>
      <c r="Q108" s="101"/>
      <c r="R108" s="195"/>
      <c r="S108" s="195"/>
      <c r="T108" s="195"/>
      <c r="U108" s="195"/>
      <c r="V108" s="195"/>
      <c r="W108" s="195"/>
      <c r="X108" s="195"/>
      <c r="Y108" s="195"/>
      <c r="Z108" s="195"/>
      <c r="AA108" s="193"/>
      <c r="AB108" s="101"/>
      <c r="AC108" s="128"/>
    </row>
    <row r="109" spans="1:29" ht="13.2" x14ac:dyDescent="0.25">
      <c r="E109" s="138"/>
      <c r="F109" s="138"/>
      <c r="G109" s="138"/>
      <c r="H109" s="138"/>
      <c r="I109" s="138"/>
      <c r="J109" s="138"/>
      <c r="K109" s="138"/>
      <c r="L109" s="138"/>
    </row>
    <row r="110" spans="1:29" ht="13.2" x14ac:dyDescent="0.25">
      <c r="E110" s="138"/>
      <c r="F110" s="138"/>
      <c r="G110" s="138"/>
      <c r="H110" s="138"/>
      <c r="I110" s="138"/>
      <c r="J110" s="138"/>
      <c r="K110" s="138"/>
      <c r="L110" s="138"/>
    </row>
    <row r="111" spans="1:29" ht="13.2" x14ac:dyDescent="0.25">
      <c r="E111" s="138"/>
      <c r="F111" s="138"/>
      <c r="G111" s="138"/>
      <c r="H111" s="138"/>
      <c r="I111" s="138"/>
      <c r="J111" s="138"/>
      <c r="K111" s="138"/>
      <c r="L111" s="138"/>
    </row>
    <row r="112" spans="1:29" ht="13.2" x14ac:dyDescent="0.25">
      <c r="E112" s="138"/>
      <c r="F112" s="138"/>
      <c r="G112" s="138"/>
      <c r="H112" s="138"/>
      <c r="I112" s="138"/>
      <c r="J112" s="138"/>
      <c r="K112" s="138"/>
      <c r="L112" s="138"/>
    </row>
    <row r="113" spans="5:12" ht="13.2" x14ac:dyDescent="0.25">
      <c r="E113" s="138"/>
      <c r="F113" s="138"/>
      <c r="G113" s="138"/>
      <c r="H113" s="138"/>
      <c r="I113" s="138"/>
      <c r="J113" s="138"/>
      <c r="K113" s="138"/>
      <c r="L113" s="138"/>
    </row>
    <row r="114" spans="5:12" ht="13.2" x14ac:dyDescent="0.25">
      <c r="E114" s="138"/>
      <c r="F114" s="138"/>
      <c r="G114" s="138"/>
      <c r="H114" s="138"/>
      <c r="I114" s="138"/>
      <c r="J114" s="138"/>
      <c r="K114" s="138"/>
      <c r="L114" s="138"/>
    </row>
    <row r="115" spans="5:12" ht="13.2" x14ac:dyDescent="0.25">
      <c r="E115" s="138"/>
      <c r="F115" s="138"/>
      <c r="G115" s="138"/>
      <c r="H115" s="138"/>
      <c r="I115" s="138"/>
      <c r="J115" s="138"/>
      <c r="K115" s="138"/>
      <c r="L115" s="138"/>
    </row>
    <row r="116" spans="5:12" ht="13.2" x14ac:dyDescent="0.25">
      <c r="E116" s="138"/>
      <c r="F116" s="138"/>
      <c r="G116" s="138"/>
      <c r="H116" s="138"/>
      <c r="I116" s="138"/>
      <c r="J116" s="138"/>
      <c r="K116" s="138"/>
      <c r="L116" s="138"/>
    </row>
    <row r="117" spans="5:12" ht="13.2" x14ac:dyDescent="0.25">
      <c r="E117" s="138"/>
      <c r="F117" s="138"/>
      <c r="G117" s="138"/>
      <c r="H117" s="138"/>
      <c r="I117" s="138"/>
      <c r="J117" s="138"/>
      <c r="K117" s="138"/>
      <c r="L117" s="138"/>
    </row>
    <row r="118" spans="5:12" ht="13.2" x14ac:dyDescent="0.25">
      <c r="E118" s="138"/>
      <c r="F118" s="138"/>
      <c r="G118" s="138"/>
      <c r="H118" s="138"/>
      <c r="I118" s="138"/>
      <c r="J118" s="138"/>
      <c r="K118" s="138"/>
      <c r="L118" s="138"/>
    </row>
    <row r="119" spans="5:12" ht="13.2" x14ac:dyDescent="0.25">
      <c r="E119" s="138"/>
      <c r="F119" s="138"/>
      <c r="G119" s="138"/>
      <c r="H119" s="138"/>
      <c r="I119" s="138"/>
      <c r="J119" s="138"/>
      <c r="K119" s="138"/>
      <c r="L119" s="138"/>
    </row>
    <row r="120" spans="5:12" ht="13.2" x14ac:dyDescent="0.25">
      <c r="E120" s="138"/>
      <c r="F120" s="138"/>
      <c r="G120" s="138"/>
      <c r="H120" s="138"/>
      <c r="I120" s="138"/>
      <c r="J120" s="138"/>
      <c r="K120" s="138"/>
      <c r="L120" s="138"/>
    </row>
    <row r="121" spans="5:12" ht="13.2" x14ac:dyDescent="0.25">
      <c r="E121" s="138"/>
      <c r="F121" s="138"/>
      <c r="G121" s="138"/>
      <c r="H121" s="138"/>
      <c r="I121" s="138"/>
      <c r="J121" s="138"/>
      <c r="K121" s="138"/>
      <c r="L121" s="138"/>
    </row>
    <row r="122" spans="5:12" ht="13.2" x14ac:dyDescent="0.25">
      <c r="E122" s="138"/>
      <c r="F122" s="138"/>
      <c r="G122" s="138"/>
      <c r="H122" s="138"/>
      <c r="I122" s="138"/>
      <c r="J122" s="138"/>
      <c r="K122" s="138"/>
      <c r="L122" s="138"/>
    </row>
    <row r="123" spans="5:12" ht="13.2" x14ac:dyDescent="0.25">
      <c r="E123" s="138"/>
      <c r="F123" s="138"/>
      <c r="G123" s="138"/>
      <c r="H123" s="138"/>
      <c r="I123" s="138"/>
      <c r="J123" s="138"/>
      <c r="K123" s="138"/>
      <c r="L123" s="138"/>
    </row>
    <row r="124" spans="5:12" ht="13.2" x14ac:dyDescent="0.25">
      <c r="E124" s="138"/>
      <c r="F124" s="138"/>
      <c r="G124" s="138"/>
      <c r="H124" s="138"/>
      <c r="I124" s="138"/>
      <c r="J124" s="138"/>
      <c r="K124" s="138"/>
      <c r="L124" s="138"/>
    </row>
    <row r="125" spans="5:12" ht="13.2" x14ac:dyDescent="0.25">
      <c r="E125" s="138"/>
      <c r="F125" s="138"/>
      <c r="G125" s="138"/>
      <c r="H125" s="138"/>
      <c r="I125" s="138"/>
      <c r="J125" s="138"/>
      <c r="K125" s="138"/>
      <c r="L125" s="138"/>
    </row>
    <row r="126" spans="5:12" ht="13.2" x14ac:dyDescent="0.25">
      <c r="E126" s="138"/>
      <c r="F126" s="138"/>
      <c r="G126" s="138"/>
      <c r="H126" s="138"/>
      <c r="I126" s="138"/>
      <c r="J126" s="138"/>
      <c r="K126" s="138"/>
      <c r="L126" s="138"/>
    </row>
    <row r="127" spans="5:12" ht="13.2" x14ac:dyDescent="0.25">
      <c r="E127" s="138"/>
      <c r="F127" s="138"/>
      <c r="G127" s="138"/>
      <c r="H127" s="138"/>
      <c r="I127" s="138"/>
      <c r="J127" s="138"/>
      <c r="K127" s="138"/>
      <c r="L127" s="138"/>
    </row>
    <row r="128" spans="5:12" ht="13.2" x14ac:dyDescent="0.25">
      <c r="E128" s="138"/>
      <c r="F128" s="138"/>
      <c r="G128" s="138"/>
      <c r="H128" s="138"/>
      <c r="I128" s="138"/>
      <c r="J128" s="138"/>
      <c r="K128" s="138"/>
      <c r="L128" s="138"/>
    </row>
    <row r="129" spans="5:12" ht="13.2" x14ac:dyDescent="0.25">
      <c r="E129" s="138"/>
      <c r="F129" s="138"/>
      <c r="G129" s="138"/>
      <c r="H129" s="138"/>
      <c r="I129" s="138"/>
      <c r="J129" s="138"/>
      <c r="K129" s="138"/>
      <c r="L129" s="138"/>
    </row>
    <row r="130" spans="5:12" ht="13.2" x14ac:dyDescent="0.25">
      <c r="E130" s="138"/>
      <c r="F130" s="138"/>
      <c r="G130" s="138"/>
      <c r="H130" s="138"/>
      <c r="I130" s="138"/>
      <c r="J130" s="138"/>
      <c r="K130" s="138"/>
      <c r="L130" s="138"/>
    </row>
    <row r="131" spans="5:12" ht="13.2" x14ac:dyDescent="0.25">
      <c r="E131" s="138"/>
      <c r="F131" s="138"/>
      <c r="G131" s="138"/>
      <c r="H131" s="138"/>
      <c r="I131" s="138"/>
      <c r="J131" s="138"/>
      <c r="K131" s="138"/>
      <c r="L131" s="138"/>
    </row>
    <row r="132" spans="5:12" ht="13.2" x14ac:dyDescent="0.25">
      <c r="E132" s="138"/>
      <c r="F132" s="138"/>
      <c r="G132" s="138"/>
      <c r="H132" s="138"/>
      <c r="I132" s="138"/>
      <c r="J132" s="138"/>
      <c r="K132" s="138"/>
      <c r="L132" s="138"/>
    </row>
    <row r="133" spans="5:12" ht="13.2" x14ac:dyDescent="0.25">
      <c r="E133" s="138"/>
      <c r="F133" s="138"/>
      <c r="G133" s="138"/>
      <c r="H133" s="138"/>
      <c r="I133" s="138"/>
      <c r="J133" s="138"/>
      <c r="K133" s="138"/>
      <c r="L133" s="138"/>
    </row>
    <row r="134" spans="5:12" ht="13.2" x14ac:dyDescent="0.25">
      <c r="E134" s="138"/>
      <c r="F134" s="138"/>
      <c r="G134" s="138"/>
      <c r="H134" s="138"/>
      <c r="I134" s="138"/>
      <c r="J134" s="138"/>
      <c r="K134" s="138"/>
      <c r="L134" s="138"/>
    </row>
    <row r="135" spans="5:12" ht="13.2" x14ac:dyDescent="0.25">
      <c r="E135" s="138"/>
      <c r="F135" s="138"/>
      <c r="G135" s="138"/>
      <c r="H135" s="138"/>
      <c r="I135" s="138"/>
      <c r="J135" s="138"/>
      <c r="K135" s="138"/>
      <c r="L135" s="138"/>
    </row>
    <row r="136" spans="5:12" ht="13.2" x14ac:dyDescent="0.25">
      <c r="E136" s="138"/>
      <c r="F136" s="138"/>
      <c r="G136" s="138"/>
      <c r="H136" s="138"/>
      <c r="I136" s="138"/>
      <c r="J136" s="138"/>
      <c r="K136" s="138"/>
      <c r="L136" s="138"/>
    </row>
    <row r="137" spans="5:12" ht="13.2" x14ac:dyDescent="0.25">
      <c r="E137" s="138"/>
      <c r="F137" s="138"/>
      <c r="G137" s="138"/>
      <c r="H137" s="138"/>
      <c r="I137" s="138"/>
      <c r="J137" s="138"/>
      <c r="K137" s="138"/>
      <c r="L137" s="138"/>
    </row>
    <row r="138" spans="5:12" ht="13.2" x14ac:dyDescent="0.25">
      <c r="E138" s="138"/>
      <c r="F138" s="138"/>
      <c r="G138" s="138"/>
      <c r="H138" s="138"/>
      <c r="I138" s="138"/>
      <c r="J138" s="138"/>
      <c r="K138" s="138"/>
      <c r="L138" s="138"/>
    </row>
    <row r="139" spans="5:12" ht="13.2" x14ac:dyDescent="0.25">
      <c r="E139" s="138"/>
      <c r="F139" s="138"/>
      <c r="G139" s="138"/>
      <c r="H139" s="138"/>
      <c r="I139" s="138"/>
      <c r="J139" s="138"/>
      <c r="K139" s="138"/>
      <c r="L139" s="138"/>
    </row>
    <row r="140" spans="5:12" ht="13.2" x14ac:dyDescent="0.25">
      <c r="E140" s="138"/>
      <c r="F140" s="138"/>
      <c r="G140" s="138"/>
      <c r="H140" s="138"/>
      <c r="I140" s="138"/>
      <c r="J140" s="138"/>
      <c r="K140" s="138"/>
      <c r="L140" s="138"/>
    </row>
    <row r="141" spans="5:12" ht="13.2" x14ac:dyDescent="0.25">
      <c r="E141" s="138"/>
      <c r="F141" s="138"/>
      <c r="G141" s="138"/>
      <c r="H141" s="138"/>
      <c r="I141" s="138"/>
      <c r="J141" s="138"/>
      <c r="K141" s="138"/>
      <c r="L141" s="138"/>
    </row>
    <row r="142" spans="5:12" ht="13.2" x14ac:dyDescent="0.25">
      <c r="E142" s="138"/>
      <c r="F142" s="138"/>
      <c r="G142" s="138"/>
      <c r="H142" s="138"/>
      <c r="I142" s="138"/>
      <c r="J142" s="138"/>
      <c r="K142" s="138"/>
      <c r="L142" s="138"/>
    </row>
    <row r="143" spans="5:12" ht="13.2" x14ac:dyDescent="0.25">
      <c r="E143" s="138"/>
      <c r="F143" s="138"/>
      <c r="G143" s="138"/>
      <c r="H143" s="138"/>
      <c r="I143" s="138"/>
      <c r="J143" s="138"/>
      <c r="K143" s="138"/>
      <c r="L143" s="138"/>
    </row>
    <row r="144" spans="5:12" ht="13.2" x14ac:dyDescent="0.25">
      <c r="E144" s="138"/>
      <c r="F144" s="138"/>
      <c r="G144" s="138"/>
      <c r="H144" s="138"/>
      <c r="I144" s="138"/>
      <c r="J144" s="138"/>
      <c r="K144" s="138"/>
      <c r="L144" s="138"/>
    </row>
    <row r="145" spans="5:12" ht="13.2" x14ac:dyDescent="0.25">
      <c r="E145" s="138"/>
      <c r="F145" s="138"/>
      <c r="G145" s="138"/>
      <c r="H145" s="138"/>
      <c r="I145" s="138"/>
      <c r="J145" s="138"/>
      <c r="K145" s="138"/>
      <c r="L145" s="138"/>
    </row>
    <row r="146" spans="5:12" ht="13.2" x14ac:dyDescent="0.25">
      <c r="E146" s="138"/>
      <c r="F146" s="138"/>
      <c r="G146" s="138"/>
      <c r="H146" s="138"/>
      <c r="I146" s="138"/>
      <c r="J146" s="138"/>
      <c r="K146" s="138"/>
      <c r="L146" s="138"/>
    </row>
    <row r="147" spans="5:12" ht="13.2" x14ac:dyDescent="0.25">
      <c r="E147" s="138"/>
      <c r="F147" s="138"/>
      <c r="G147" s="138"/>
      <c r="H147" s="138"/>
      <c r="I147" s="138"/>
      <c r="J147" s="138"/>
      <c r="K147" s="138"/>
      <c r="L147" s="138"/>
    </row>
    <row r="148" spans="5:12" ht="13.2" x14ac:dyDescent="0.25">
      <c r="E148" s="138"/>
      <c r="F148" s="138"/>
      <c r="G148" s="138"/>
      <c r="H148" s="138"/>
      <c r="I148" s="138"/>
      <c r="J148" s="138"/>
      <c r="K148" s="138"/>
      <c r="L148" s="138"/>
    </row>
    <row r="149" spans="5:12" ht="13.2" x14ac:dyDescent="0.25">
      <c r="E149" s="138"/>
      <c r="F149" s="138"/>
      <c r="G149" s="138"/>
      <c r="H149" s="138"/>
      <c r="I149" s="138"/>
      <c r="J149" s="138"/>
      <c r="K149" s="138"/>
      <c r="L149" s="138"/>
    </row>
    <row r="150" spans="5:12" ht="13.2" x14ac:dyDescent="0.25">
      <c r="E150" s="138"/>
      <c r="F150" s="138"/>
      <c r="G150" s="138"/>
      <c r="H150" s="138"/>
      <c r="I150" s="138"/>
      <c r="J150" s="138"/>
      <c r="K150" s="138"/>
      <c r="L150" s="138"/>
    </row>
    <row r="151" spans="5:12" ht="13.2" x14ac:dyDescent="0.25">
      <c r="E151" s="138"/>
      <c r="F151" s="138"/>
      <c r="G151" s="138"/>
      <c r="H151" s="138"/>
      <c r="I151" s="138"/>
      <c r="J151" s="138"/>
      <c r="K151" s="138"/>
      <c r="L151" s="138"/>
    </row>
    <row r="152" spans="5:12" ht="13.2" x14ac:dyDescent="0.25">
      <c r="E152" s="138"/>
      <c r="F152" s="138"/>
      <c r="G152" s="138"/>
      <c r="H152" s="138"/>
      <c r="I152" s="138"/>
      <c r="J152" s="138"/>
      <c r="K152" s="138"/>
      <c r="L152" s="138"/>
    </row>
    <row r="153" spans="5:12" ht="13.2" x14ac:dyDescent="0.25">
      <c r="E153" s="138"/>
      <c r="F153" s="138"/>
      <c r="G153" s="138"/>
      <c r="H153" s="138"/>
      <c r="I153" s="138"/>
      <c r="J153" s="138"/>
      <c r="K153" s="138"/>
      <c r="L153" s="138"/>
    </row>
    <row r="154" spans="5:12" ht="13.2" x14ac:dyDescent="0.25">
      <c r="E154" s="138"/>
      <c r="F154" s="138"/>
      <c r="G154" s="138"/>
      <c r="H154" s="138"/>
      <c r="I154" s="138"/>
      <c r="J154" s="138"/>
      <c r="K154" s="138"/>
      <c r="L154" s="138"/>
    </row>
    <row r="155" spans="5:12" ht="13.2" x14ac:dyDescent="0.25">
      <c r="E155" s="138"/>
      <c r="F155" s="138"/>
      <c r="G155" s="138"/>
      <c r="H155" s="138"/>
      <c r="I155" s="138"/>
      <c r="J155" s="138"/>
      <c r="K155" s="138"/>
      <c r="L155" s="138"/>
    </row>
    <row r="156" spans="5:12" ht="13.2" x14ac:dyDescent="0.25">
      <c r="E156" s="138"/>
      <c r="F156" s="138"/>
      <c r="G156" s="138"/>
      <c r="H156" s="138"/>
      <c r="I156" s="138"/>
      <c r="J156" s="138"/>
      <c r="K156" s="138"/>
      <c r="L156" s="138"/>
    </row>
    <row r="157" spans="5:12" ht="13.2" x14ac:dyDescent="0.25">
      <c r="E157" s="138"/>
      <c r="F157" s="138"/>
      <c r="G157" s="138"/>
      <c r="H157" s="138"/>
      <c r="I157" s="138"/>
      <c r="J157" s="138"/>
      <c r="K157" s="138"/>
      <c r="L157" s="138"/>
    </row>
    <row r="158" spans="5:12" ht="13.2" x14ac:dyDescent="0.25">
      <c r="E158" s="138"/>
      <c r="F158" s="138"/>
      <c r="G158" s="138"/>
      <c r="H158" s="138"/>
      <c r="I158" s="138"/>
      <c r="J158" s="138"/>
      <c r="K158" s="138"/>
      <c r="L158" s="138"/>
    </row>
    <row r="159" spans="5:12" ht="13.2" x14ac:dyDescent="0.25">
      <c r="E159" s="138"/>
      <c r="F159" s="138"/>
      <c r="G159" s="138"/>
      <c r="H159" s="138"/>
      <c r="I159" s="138"/>
      <c r="J159" s="138"/>
      <c r="K159" s="138"/>
      <c r="L159" s="138"/>
    </row>
    <row r="160" spans="5:12" ht="13.2" x14ac:dyDescent="0.25">
      <c r="E160" s="138"/>
      <c r="F160" s="138"/>
      <c r="G160" s="138"/>
      <c r="H160" s="138"/>
      <c r="I160" s="138"/>
      <c r="J160" s="138"/>
      <c r="K160" s="138"/>
      <c r="L160" s="138"/>
    </row>
    <row r="161" spans="5:12" ht="13.2" x14ac:dyDescent="0.25">
      <c r="E161" s="138"/>
      <c r="F161" s="138"/>
      <c r="G161" s="138"/>
      <c r="H161" s="138"/>
      <c r="I161" s="138"/>
      <c r="J161" s="138"/>
      <c r="K161" s="138"/>
      <c r="L161" s="138"/>
    </row>
    <row r="162" spans="5:12" ht="13.2" x14ac:dyDescent="0.25">
      <c r="E162" s="138"/>
      <c r="F162" s="138"/>
      <c r="G162" s="138"/>
      <c r="H162" s="138"/>
      <c r="I162" s="138"/>
      <c r="J162" s="138"/>
      <c r="K162" s="138"/>
      <c r="L162" s="138"/>
    </row>
    <row r="163" spans="5:12" ht="13.2" x14ac:dyDescent="0.25">
      <c r="E163" s="138"/>
      <c r="F163" s="138"/>
      <c r="G163" s="138"/>
      <c r="H163" s="138"/>
      <c r="I163" s="138"/>
      <c r="J163" s="138"/>
      <c r="K163" s="138"/>
      <c r="L163" s="138"/>
    </row>
    <row r="164" spans="5:12" ht="13.2" x14ac:dyDescent="0.25">
      <c r="E164" s="138"/>
      <c r="F164" s="138"/>
      <c r="G164" s="138"/>
      <c r="H164" s="138"/>
      <c r="I164" s="138"/>
      <c r="J164" s="138"/>
      <c r="K164" s="138"/>
      <c r="L164" s="138"/>
    </row>
    <row r="165" spans="5:12" ht="13.2" x14ac:dyDescent="0.25">
      <c r="E165" s="138"/>
      <c r="F165" s="138"/>
      <c r="G165" s="138"/>
      <c r="H165" s="138"/>
      <c r="I165" s="138"/>
      <c r="J165" s="138"/>
      <c r="K165" s="138"/>
      <c r="L165" s="138"/>
    </row>
    <row r="166" spans="5:12" ht="13.2" x14ac:dyDescent="0.25">
      <c r="E166" s="138"/>
      <c r="F166" s="138"/>
      <c r="G166" s="138"/>
      <c r="H166" s="138"/>
      <c r="I166" s="138"/>
      <c r="J166" s="138"/>
      <c r="K166" s="138"/>
      <c r="L166" s="138"/>
    </row>
    <row r="167" spans="5:12" ht="13.2" x14ac:dyDescent="0.25">
      <c r="E167" s="138"/>
      <c r="F167" s="138"/>
      <c r="G167" s="138"/>
      <c r="H167" s="138"/>
      <c r="I167" s="138"/>
      <c r="J167" s="138"/>
      <c r="K167" s="138"/>
      <c r="L167" s="138"/>
    </row>
    <row r="168" spans="5:12" ht="13.2" x14ac:dyDescent="0.25">
      <c r="E168" s="138"/>
      <c r="F168" s="138"/>
      <c r="G168" s="138"/>
      <c r="H168" s="138"/>
      <c r="I168" s="138"/>
      <c r="J168" s="138"/>
      <c r="K168" s="138"/>
      <c r="L168" s="138"/>
    </row>
    <row r="169" spans="5:12" ht="13.2" x14ac:dyDescent="0.25">
      <c r="E169" s="138"/>
      <c r="F169" s="138"/>
      <c r="G169" s="138"/>
      <c r="H169" s="138"/>
      <c r="I169" s="138"/>
      <c r="J169" s="138"/>
      <c r="K169" s="138"/>
      <c r="L169" s="138"/>
    </row>
    <row r="170" spans="5:12" ht="13.2" x14ac:dyDescent="0.25">
      <c r="E170" s="138"/>
      <c r="F170" s="138"/>
      <c r="G170" s="138"/>
      <c r="H170" s="138"/>
      <c r="I170" s="138"/>
      <c r="J170" s="138"/>
      <c r="K170" s="138"/>
      <c r="L170" s="138"/>
    </row>
    <row r="171" spans="5:12" ht="13.2" x14ac:dyDescent="0.25">
      <c r="E171" s="138"/>
      <c r="F171" s="138"/>
      <c r="G171" s="138"/>
      <c r="H171" s="138"/>
      <c r="I171" s="138"/>
      <c r="J171" s="138"/>
      <c r="K171" s="138"/>
      <c r="L171" s="138"/>
    </row>
    <row r="172" spans="5:12" ht="13.2" x14ac:dyDescent="0.25">
      <c r="E172" s="138"/>
      <c r="F172" s="138"/>
      <c r="G172" s="138"/>
      <c r="H172" s="138"/>
      <c r="I172" s="138"/>
      <c r="J172" s="138"/>
      <c r="K172" s="138"/>
      <c r="L172" s="138"/>
    </row>
    <row r="173" spans="5:12" ht="13.2" x14ac:dyDescent="0.25">
      <c r="E173" s="138"/>
      <c r="F173" s="138"/>
      <c r="G173" s="138"/>
      <c r="H173" s="138"/>
      <c r="I173" s="138"/>
      <c r="J173" s="138"/>
      <c r="K173" s="138"/>
      <c r="L173" s="138"/>
    </row>
    <row r="174" spans="5:12" ht="13.2" x14ac:dyDescent="0.25">
      <c r="E174" s="138"/>
      <c r="F174" s="138"/>
      <c r="G174" s="138"/>
      <c r="H174" s="138"/>
      <c r="I174" s="138"/>
      <c r="J174" s="138"/>
      <c r="K174" s="138"/>
      <c r="L174" s="138"/>
    </row>
    <row r="175" spans="5:12" ht="13.2" x14ac:dyDescent="0.25">
      <c r="E175" s="138"/>
      <c r="F175" s="138"/>
      <c r="G175" s="138"/>
      <c r="H175" s="138"/>
      <c r="I175" s="138"/>
      <c r="J175" s="138"/>
      <c r="K175" s="138"/>
      <c r="L175" s="138"/>
    </row>
    <row r="176" spans="5:12" ht="13.2" x14ac:dyDescent="0.25">
      <c r="E176" s="138"/>
      <c r="F176" s="138"/>
      <c r="G176" s="138"/>
      <c r="H176" s="138"/>
      <c r="I176" s="138"/>
      <c r="J176" s="138"/>
      <c r="K176" s="138"/>
      <c r="L176" s="138"/>
    </row>
    <row r="177" spans="5:12" ht="13.2" x14ac:dyDescent="0.25">
      <c r="E177" s="138"/>
      <c r="F177" s="138"/>
      <c r="G177" s="138"/>
      <c r="H177" s="138"/>
      <c r="I177" s="138"/>
      <c r="J177" s="138"/>
      <c r="K177" s="138"/>
      <c r="L177" s="138"/>
    </row>
    <row r="178" spans="5:12" ht="13.2" x14ac:dyDescent="0.25">
      <c r="E178" s="138"/>
      <c r="F178" s="138"/>
      <c r="G178" s="138"/>
      <c r="H178" s="138"/>
      <c r="I178" s="138"/>
      <c r="J178" s="138"/>
      <c r="K178" s="138"/>
      <c r="L178" s="138"/>
    </row>
    <row r="179" spans="5:12" ht="13.2" x14ac:dyDescent="0.25">
      <c r="E179" s="138"/>
      <c r="F179" s="138"/>
      <c r="G179" s="138"/>
      <c r="H179" s="138"/>
      <c r="I179" s="138"/>
      <c r="J179" s="138"/>
      <c r="K179" s="138"/>
      <c r="L179" s="138"/>
    </row>
    <row r="180" spans="5:12" ht="13.2" x14ac:dyDescent="0.25">
      <c r="E180" s="138"/>
      <c r="F180" s="138"/>
      <c r="G180" s="138"/>
      <c r="H180" s="138"/>
      <c r="I180" s="138"/>
      <c r="J180" s="138"/>
      <c r="K180" s="138"/>
      <c r="L180" s="138"/>
    </row>
    <row r="181" spans="5:12" ht="13.2" x14ac:dyDescent="0.25">
      <c r="E181" s="138"/>
      <c r="F181" s="138"/>
      <c r="G181" s="138"/>
      <c r="H181" s="138"/>
      <c r="I181" s="138"/>
      <c r="J181" s="138"/>
      <c r="K181" s="138"/>
      <c r="L181" s="138"/>
    </row>
    <row r="182" spans="5:12" ht="13.2" x14ac:dyDescent="0.25">
      <c r="E182" s="138"/>
      <c r="F182" s="138"/>
      <c r="G182" s="138"/>
      <c r="H182" s="138"/>
      <c r="I182" s="138"/>
      <c r="J182" s="138"/>
      <c r="K182" s="138"/>
      <c r="L182" s="138"/>
    </row>
    <row r="183" spans="5:12" ht="13.2" x14ac:dyDescent="0.25">
      <c r="E183" s="138"/>
      <c r="F183" s="138"/>
      <c r="G183" s="138"/>
      <c r="H183" s="138"/>
      <c r="I183" s="138"/>
      <c r="J183" s="138"/>
      <c r="K183" s="138"/>
      <c r="L183" s="138"/>
    </row>
    <row r="184" spans="5:12" ht="13.2" x14ac:dyDescent="0.25">
      <c r="E184" s="138"/>
      <c r="F184" s="138"/>
      <c r="G184" s="138"/>
      <c r="H184" s="138"/>
      <c r="I184" s="138"/>
      <c r="J184" s="138"/>
      <c r="K184" s="138"/>
      <c r="L184" s="138"/>
    </row>
    <row r="185" spans="5:12" ht="13.2" x14ac:dyDescent="0.25">
      <c r="E185" s="138"/>
      <c r="F185" s="138"/>
      <c r="G185" s="138"/>
      <c r="H185" s="138"/>
      <c r="I185" s="138"/>
      <c r="J185" s="138"/>
      <c r="K185" s="138"/>
      <c r="L185" s="138"/>
    </row>
    <row r="186" spans="5:12" ht="13.2" x14ac:dyDescent="0.25">
      <c r="E186" s="138"/>
      <c r="F186" s="138"/>
      <c r="G186" s="138"/>
      <c r="H186" s="138"/>
      <c r="I186" s="138"/>
      <c r="J186" s="138"/>
      <c r="K186" s="138"/>
      <c r="L186" s="138"/>
    </row>
    <row r="187" spans="5:12" ht="13.2" x14ac:dyDescent="0.25">
      <c r="E187" s="138"/>
      <c r="F187" s="138"/>
      <c r="G187" s="138"/>
      <c r="H187" s="138"/>
      <c r="I187" s="138"/>
      <c r="J187" s="138"/>
      <c r="K187" s="138"/>
      <c r="L187" s="138"/>
    </row>
    <row r="188" spans="5:12" ht="13.2" x14ac:dyDescent="0.25">
      <c r="E188" s="138"/>
      <c r="F188" s="138"/>
      <c r="G188" s="138"/>
      <c r="H188" s="138"/>
      <c r="I188" s="138"/>
      <c r="J188" s="138"/>
      <c r="K188" s="138"/>
      <c r="L188" s="138"/>
    </row>
    <row r="189" spans="5:12" ht="13.2" x14ac:dyDescent="0.25">
      <c r="E189" s="138"/>
      <c r="F189" s="138"/>
      <c r="G189" s="138"/>
      <c r="H189" s="138"/>
      <c r="I189" s="138"/>
      <c r="J189" s="138"/>
      <c r="K189" s="138"/>
      <c r="L189" s="138"/>
    </row>
    <row r="190" spans="5:12" ht="13.2" x14ac:dyDescent="0.25">
      <c r="E190" s="138"/>
      <c r="F190" s="138"/>
      <c r="G190" s="138"/>
      <c r="H190" s="138"/>
      <c r="I190" s="138"/>
      <c r="J190" s="138"/>
      <c r="K190" s="138"/>
      <c r="L190" s="138"/>
    </row>
    <row r="191" spans="5:12" ht="13.2" x14ac:dyDescent="0.25">
      <c r="E191" s="138"/>
      <c r="F191" s="138"/>
      <c r="G191" s="138"/>
      <c r="H191" s="138"/>
      <c r="I191" s="138"/>
      <c r="J191" s="138"/>
      <c r="K191" s="138"/>
      <c r="L191" s="138"/>
    </row>
    <row r="192" spans="5:12" ht="13.2" x14ac:dyDescent="0.25">
      <c r="E192" s="138"/>
      <c r="F192" s="138"/>
      <c r="G192" s="138"/>
      <c r="H192" s="138"/>
      <c r="I192" s="138"/>
      <c r="J192" s="138"/>
      <c r="K192" s="138"/>
      <c r="L192" s="138"/>
    </row>
    <row r="193" spans="5:12" ht="13.2" x14ac:dyDescent="0.25">
      <c r="E193" s="138"/>
      <c r="F193" s="138"/>
      <c r="G193" s="138"/>
      <c r="H193" s="138"/>
      <c r="I193" s="138"/>
      <c r="J193" s="138"/>
      <c r="K193" s="138"/>
      <c r="L193" s="138"/>
    </row>
    <row r="194" spans="5:12" ht="13.2" x14ac:dyDescent="0.25">
      <c r="E194" s="138"/>
      <c r="F194" s="138"/>
      <c r="G194" s="138"/>
      <c r="H194" s="138"/>
      <c r="I194" s="138"/>
      <c r="J194" s="138"/>
      <c r="K194" s="138"/>
      <c r="L194" s="138"/>
    </row>
    <row r="195" spans="5:12" ht="13.2" x14ac:dyDescent="0.25">
      <c r="E195" s="138"/>
      <c r="F195" s="138"/>
      <c r="G195" s="138"/>
      <c r="H195" s="138"/>
      <c r="I195" s="138"/>
      <c r="J195" s="138"/>
      <c r="K195" s="138"/>
      <c r="L195" s="138"/>
    </row>
    <row r="196" spans="5:12" ht="13.2" x14ac:dyDescent="0.25">
      <c r="E196" s="138"/>
      <c r="F196" s="138"/>
      <c r="G196" s="138"/>
      <c r="H196" s="138"/>
      <c r="I196" s="138"/>
      <c r="J196" s="138"/>
      <c r="K196" s="138"/>
      <c r="L196" s="138"/>
    </row>
    <row r="197" spans="5:12" ht="13.2" x14ac:dyDescent="0.25">
      <c r="E197" s="138"/>
      <c r="F197" s="138"/>
      <c r="G197" s="138"/>
      <c r="H197" s="138"/>
      <c r="I197" s="138"/>
      <c r="J197" s="138"/>
      <c r="K197" s="138"/>
      <c r="L197" s="138"/>
    </row>
    <row r="198" spans="5:12" ht="13.2" x14ac:dyDescent="0.25">
      <c r="E198" s="138"/>
      <c r="F198" s="138"/>
      <c r="G198" s="138"/>
      <c r="H198" s="138"/>
      <c r="I198" s="138"/>
      <c r="J198" s="138"/>
      <c r="K198" s="138"/>
      <c r="L198" s="138"/>
    </row>
    <row r="199" spans="5:12" ht="13.2" x14ac:dyDescent="0.25">
      <c r="E199" s="138"/>
      <c r="F199" s="138"/>
      <c r="G199" s="138"/>
      <c r="H199" s="138"/>
      <c r="I199" s="138"/>
      <c r="J199" s="138"/>
      <c r="K199" s="138"/>
      <c r="L199" s="138"/>
    </row>
    <row r="200" spans="5:12" ht="13.2" x14ac:dyDescent="0.25">
      <c r="E200" s="138"/>
      <c r="F200" s="138"/>
      <c r="G200" s="138"/>
      <c r="H200" s="138"/>
      <c r="I200" s="138"/>
      <c r="J200" s="138"/>
      <c r="K200" s="138"/>
      <c r="L200" s="138"/>
    </row>
    <row r="201" spans="5:12" ht="13.2" x14ac:dyDescent="0.25">
      <c r="E201" s="138"/>
      <c r="F201" s="138"/>
      <c r="G201" s="138"/>
      <c r="H201" s="138"/>
      <c r="I201" s="138"/>
      <c r="J201" s="138"/>
      <c r="K201" s="138"/>
      <c r="L201" s="138"/>
    </row>
    <row r="202" spans="5:12" ht="13.2" x14ac:dyDescent="0.25">
      <c r="E202" s="138"/>
      <c r="F202" s="138"/>
      <c r="G202" s="138"/>
      <c r="H202" s="138"/>
      <c r="I202" s="138"/>
      <c r="J202" s="138"/>
      <c r="K202" s="138"/>
      <c r="L202" s="138"/>
    </row>
    <row r="203" spans="5:12" ht="13.2" x14ac:dyDescent="0.25">
      <c r="E203" s="138"/>
      <c r="F203" s="138"/>
      <c r="G203" s="138"/>
      <c r="H203" s="138"/>
      <c r="I203" s="138"/>
      <c r="J203" s="138"/>
      <c r="K203" s="138"/>
      <c r="L203" s="138"/>
    </row>
    <row r="204" spans="5:12" ht="13.2" x14ac:dyDescent="0.25">
      <c r="E204" s="138"/>
      <c r="F204" s="138"/>
      <c r="G204" s="138"/>
      <c r="H204" s="138"/>
      <c r="I204" s="138"/>
      <c r="J204" s="138"/>
      <c r="K204" s="138"/>
      <c r="L204" s="138"/>
    </row>
    <row r="205" spans="5:12" ht="13.2" x14ac:dyDescent="0.25">
      <c r="E205" s="138"/>
      <c r="F205" s="138"/>
      <c r="G205" s="138"/>
      <c r="H205" s="138"/>
      <c r="I205" s="138"/>
      <c r="J205" s="138"/>
      <c r="K205" s="138"/>
      <c r="L205" s="138"/>
    </row>
    <row r="206" spans="5:12" ht="13.2" x14ac:dyDescent="0.25">
      <c r="E206" s="138"/>
      <c r="F206" s="138"/>
      <c r="G206" s="138"/>
      <c r="H206" s="138"/>
      <c r="I206" s="138"/>
      <c r="J206" s="138"/>
      <c r="K206" s="138"/>
      <c r="L206" s="138"/>
    </row>
    <row r="207" spans="5:12" ht="13.2" x14ac:dyDescent="0.25">
      <c r="E207" s="138"/>
      <c r="F207" s="138"/>
      <c r="G207" s="138"/>
      <c r="H207" s="138"/>
      <c r="I207" s="138"/>
      <c r="J207" s="138"/>
      <c r="K207" s="138"/>
      <c r="L207" s="138"/>
    </row>
    <row r="208" spans="5:12" ht="13.2" x14ac:dyDescent="0.25">
      <c r="E208" s="138"/>
      <c r="F208" s="138"/>
      <c r="G208" s="138"/>
      <c r="H208" s="138"/>
      <c r="I208" s="138"/>
      <c r="J208" s="138"/>
      <c r="K208" s="138"/>
      <c r="L208" s="138"/>
    </row>
    <row r="209" spans="5:12" ht="13.2" x14ac:dyDescent="0.25">
      <c r="E209" s="138"/>
      <c r="F209" s="138"/>
      <c r="G209" s="138"/>
      <c r="H209" s="138"/>
      <c r="I209" s="138"/>
      <c r="J209" s="138"/>
      <c r="K209" s="138"/>
      <c r="L209" s="138"/>
    </row>
    <row r="210" spans="5:12" ht="13.2" x14ac:dyDescent="0.25">
      <c r="E210" s="138"/>
      <c r="F210" s="138"/>
      <c r="G210" s="138"/>
      <c r="H210" s="138"/>
      <c r="I210" s="138"/>
      <c r="J210" s="138"/>
      <c r="K210" s="138"/>
      <c r="L210" s="138"/>
    </row>
    <row r="211" spans="5:12" ht="13.2" x14ac:dyDescent="0.25">
      <c r="E211" s="138"/>
      <c r="F211" s="138"/>
      <c r="G211" s="138"/>
      <c r="H211" s="138"/>
      <c r="I211" s="138"/>
      <c r="J211" s="138"/>
      <c r="K211" s="138"/>
      <c r="L211" s="138"/>
    </row>
    <row r="212" spans="5:12" ht="13.2" x14ac:dyDescent="0.25">
      <c r="E212" s="138"/>
      <c r="F212" s="138"/>
      <c r="G212" s="138"/>
      <c r="H212" s="138"/>
      <c r="I212" s="138"/>
      <c r="J212" s="138"/>
      <c r="K212" s="138"/>
      <c r="L212" s="138"/>
    </row>
    <row r="213" spans="5:12" ht="13.2" x14ac:dyDescent="0.25">
      <c r="E213" s="138"/>
      <c r="F213" s="138"/>
      <c r="G213" s="138"/>
      <c r="H213" s="138"/>
      <c r="I213" s="138"/>
      <c r="J213" s="138"/>
      <c r="K213" s="138"/>
      <c r="L213" s="138"/>
    </row>
    <row r="214" spans="5:12" ht="13.2" x14ac:dyDescent="0.25">
      <c r="E214" s="138"/>
      <c r="F214" s="138"/>
      <c r="G214" s="138"/>
      <c r="H214" s="138"/>
      <c r="I214" s="138"/>
      <c r="J214" s="138"/>
      <c r="K214" s="138"/>
      <c r="L214" s="138"/>
    </row>
    <row r="215" spans="5:12" ht="13.2" x14ac:dyDescent="0.25">
      <c r="E215" s="138"/>
      <c r="F215" s="138"/>
      <c r="G215" s="138"/>
      <c r="H215" s="138"/>
      <c r="I215" s="138"/>
      <c r="J215" s="138"/>
      <c r="K215" s="138"/>
      <c r="L215" s="138"/>
    </row>
    <row r="216" spans="5:12" ht="13.2" x14ac:dyDescent="0.25">
      <c r="E216" s="138"/>
      <c r="F216" s="138"/>
      <c r="G216" s="138"/>
      <c r="H216" s="138"/>
      <c r="I216" s="138"/>
      <c r="J216" s="138"/>
      <c r="K216" s="138"/>
      <c r="L216" s="138"/>
    </row>
    <row r="217" spans="5:12" ht="13.2" x14ac:dyDescent="0.25">
      <c r="E217" s="138"/>
      <c r="F217" s="138"/>
      <c r="G217" s="138"/>
      <c r="H217" s="138"/>
      <c r="I217" s="138"/>
      <c r="J217" s="138"/>
      <c r="K217" s="138"/>
      <c r="L217" s="138"/>
    </row>
    <row r="218" spans="5:12" ht="13.2" x14ac:dyDescent="0.25">
      <c r="E218" s="138"/>
      <c r="F218" s="138"/>
      <c r="G218" s="138"/>
      <c r="H218" s="138"/>
      <c r="I218" s="138"/>
      <c r="J218" s="138"/>
      <c r="K218" s="138"/>
      <c r="L218" s="138"/>
    </row>
    <row r="219" spans="5:12" ht="13.2" x14ac:dyDescent="0.25">
      <c r="E219" s="138"/>
      <c r="F219" s="138"/>
      <c r="G219" s="138"/>
      <c r="H219" s="138"/>
      <c r="I219" s="138"/>
      <c r="J219" s="138"/>
      <c r="K219" s="138"/>
      <c r="L219" s="138"/>
    </row>
    <row r="220" spans="5:12" ht="13.2" x14ac:dyDescent="0.25">
      <c r="E220" s="138"/>
      <c r="F220" s="138"/>
      <c r="G220" s="138"/>
      <c r="H220" s="138"/>
      <c r="I220" s="138"/>
      <c r="J220" s="138"/>
      <c r="K220" s="138"/>
      <c r="L220" s="138"/>
    </row>
    <row r="221" spans="5:12" ht="13.2" x14ac:dyDescent="0.25">
      <c r="E221" s="138"/>
      <c r="F221" s="138"/>
      <c r="G221" s="138"/>
      <c r="H221" s="138"/>
      <c r="I221" s="138"/>
      <c r="J221" s="138"/>
      <c r="K221" s="138"/>
      <c r="L221" s="138"/>
    </row>
    <row r="222" spans="5:12" ht="13.2" x14ac:dyDescent="0.25">
      <c r="E222" s="138"/>
      <c r="F222" s="138"/>
      <c r="G222" s="138"/>
      <c r="H222" s="138"/>
      <c r="I222" s="138"/>
      <c r="J222" s="138"/>
      <c r="K222" s="138"/>
      <c r="L222" s="138"/>
    </row>
    <row r="223" spans="5:12" ht="13.2" x14ac:dyDescent="0.25">
      <c r="E223" s="138"/>
      <c r="F223" s="138"/>
      <c r="G223" s="138"/>
      <c r="H223" s="138"/>
      <c r="I223" s="138"/>
      <c r="J223" s="138"/>
      <c r="K223" s="138"/>
      <c r="L223" s="138"/>
    </row>
    <row r="224" spans="5:12" ht="13.2" x14ac:dyDescent="0.25">
      <c r="E224" s="138"/>
      <c r="F224" s="138"/>
      <c r="G224" s="138"/>
      <c r="H224" s="138"/>
      <c r="I224" s="138"/>
      <c r="J224" s="138"/>
      <c r="K224" s="138"/>
      <c r="L224" s="138"/>
    </row>
    <row r="225" spans="5:12" ht="13.2" x14ac:dyDescent="0.25">
      <c r="E225" s="138"/>
      <c r="F225" s="138"/>
      <c r="G225" s="138"/>
      <c r="H225" s="138"/>
      <c r="I225" s="138"/>
      <c r="J225" s="138"/>
      <c r="K225" s="138"/>
      <c r="L225" s="138"/>
    </row>
    <row r="226" spans="5:12" ht="13.2" x14ac:dyDescent="0.25">
      <c r="E226" s="138"/>
      <c r="F226" s="138"/>
      <c r="G226" s="138"/>
      <c r="H226" s="138"/>
      <c r="I226" s="138"/>
      <c r="J226" s="138"/>
      <c r="K226" s="138"/>
      <c r="L226" s="138"/>
    </row>
    <row r="227" spans="5:12" ht="13.2" x14ac:dyDescent="0.25">
      <c r="E227" s="138"/>
      <c r="F227" s="138"/>
      <c r="G227" s="138"/>
      <c r="H227" s="138"/>
      <c r="I227" s="138"/>
      <c r="J227" s="138"/>
      <c r="K227" s="138"/>
      <c r="L227" s="138"/>
    </row>
    <row r="228" spans="5:12" ht="13.2" x14ac:dyDescent="0.25">
      <c r="E228" s="138"/>
      <c r="F228" s="138"/>
      <c r="G228" s="138"/>
      <c r="H228" s="138"/>
      <c r="I228" s="138"/>
      <c r="J228" s="138"/>
      <c r="K228" s="138"/>
      <c r="L228" s="138"/>
    </row>
    <row r="229" spans="5:12" ht="13.2" x14ac:dyDescent="0.25">
      <c r="E229" s="138"/>
      <c r="F229" s="138"/>
      <c r="G229" s="138"/>
      <c r="H229" s="138"/>
      <c r="I229" s="138"/>
      <c r="J229" s="138"/>
      <c r="K229" s="138"/>
      <c r="L229" s="138"/>
    </row>
    <row r="230" spans="5:12" ht="13.2" x14ac:dyDescent="0.25">
      <c r="E230" s="138"/>
      <c r="F230" s="138"/>
      <c r="G230" s="138"/>
      <c r="H230" s="138"/>
      <c r="I230" s="138"/>
      <c r="J230" s="138"/>
      <c r="K230" s="138"/>
      <c r="L230" s="138"/>
    </row>
    <row r="231" spans="5:12" ht="13.2" x14ac:dyDescent="0.25">
      <c r="E231" s="138"/>
      <c r="F231" s="138"/>
      <c r="G231" s="138"/>
      <c r="H231" s="138"/>
      <c r="I231" s="138"/>
      <c r="J231" s="138"/>
      <c r="K231" s="138"/>
      <c r="L231" s="138"/>
    </row>
    <row r="232" spans="5:12" ht="13.2" x14ac:dyDescent="0.25">
      <c r="E232" s="138"/>
      <c r="F232" s="138"/>
      <c r="G232" s="138"/>
      <c r="H232" s="138"/>
      <c r="I232" s="138"/>
      <c r="J232" s="138"/>
      <c r="K232" s="138"/>
      <c r="L232" s="138"/>
    </row>
    <row r="233" spans="5:12" ht="13.2" x14ac:dyDescent="0.25">
      <c r="E233" s="138"/>
      <c r="F233" s="138"/>
      <c r="G233" s="138"/>
      <c r="H233" s="138"/>
      <c r="I233" s="138"/>
      <c r="J233" s="138"/>
      <c r="K233" s="138"/>
      <c r="L233" s="138"/>
    </row>
    <row r="234" spans="5:12" ht="13.2" x14ac:dyDescent="0.25">
      <c r="E234" s="138"/>
      <c r="F234" s="138"/>
      <c r="G234" s="138"/>
      <c r="H234" s="138"/>
      <c r="I234" s="138"/>
      <c r="J234" s="138"/>
      <c r="K234" s="138"/>
      <c r="L234" s="138"/>
    </row>
    <row r="235" spans="5:12" ht="13.2" x14ac:dyDescent="0.25">
      <c r="E235" s="138"/>
      <c r="F235" s="138"/>
      <c r="G235" s="138"/>
      <c r="H235" s="138"/>
      <c r="I235" s="138"/>
      <c r="J235" s="138"/>
      <c r="K235" s="138"/>
      <c r="L235" s="138"/>
    </row>
    <row r="236" spans="5:12" ht="13.2" x14ac:dyDescent="0.25">
      <c r="E236" s="138"/>
      <c r="F236" s="138"/>
      <c r="G236" s="138"/>
      <c r="H236" s="138"/>
      <c r="I236" s="138"/>
      <c r="J236" s="138"/>
      <c r="K236" s="138"/>
      <c r="L236" s="138"/>
    </row>
    <row r="237" spans="5:12" ht="13.2" x14ac:dyDescent="0.25">
      <c r="E237" s="138"/>
      <c r="F237" s="138"/>
      <c r="G237" s="138"/>
      <c r="H237" s="138"/>
      <c r="I237" s="138"/>
      <c r="J237" s="138"/>
      <c r="K237" s="138"/>
      <c r="L237" s="138"/>
    </row>
    <row r="238" spans="5:12" ht="13.2" x14ac:dyDescent="0.25">
      <c r="E238" s="138"/>
      <c r="F238" s="138"/>
      <c r="G238" s="138"/>
      <c r="H238" s="138"/>
      <c r="I238" s="138"/>
      <c r="J238" s="138"/>
      <c r="K238" s="138"/>
      <c r="L238" s="138"/>
    </row>
    <row r="239" spans="5:12" ht="13.2" x14ac:dyDescent="0.25">
      <c r="E239" s="138"/>
      <c r="F239" s="138"/>
      <c r="G239" s="138"/>
      <c r="H239" s="138"/>
      <c r="I239" s="138"/>
      <c r="J239" s="138"/>
      <c r="K239" s="138"/>
      <c r="L239" s="138"/>
    </row>
    <row r="240" spans="5:12" ht="13.2" x14ac:dyDescent="0.25">
      <c r="E240" s="138"/>
      <c r="F240" s="138"/>
      <c r="G240" s="138"/>
      <c r="H240" s="138"/>
      <c r="I240" s="138"/>
      <c r="J240" s="138"/>
      <c r="K240" s="138"/>
      <c r="L240" s="138"/>
    </row>
    <row r="241" spans="5:12" ht="13.2" x14ac:dyDescent="0.25">
      <c r="E241" s="138"/>
      <c r="F241" s="138"/>
      <c r="G241" s="138"/>
      <c r="H241" s="138"/>
      <c r="I241" s="138"/>
      <c r="J241" s="138"/>
      <c r="K241" s="138"/>
      <c r="L241" s="138"/>
    </row>
    <row r="242" spans="5:12" ht="13.2" x14ac:dyDescent="0.25">
      <c r="E242" s="138"/>
      <c r="F242" s="138"/>
      <c r="G242" s="138"/>
      <c r="H242" s="138"/>
      <c r="I242" s="138"/>
      <c r="J242" s="138"/>
      <c r="K242" s="138"/>
      <c r="L242" s="138"/>
    </row>
    <row r="243" spans="5:12" ht="13.2" x14ac:dyDescent="0.25">
      <c r="E243" s="138"/>
      <c r="F243" s="138"/>
      <c r="G243" s="138"/>
      <c r="H243" s="138"/>
      <c r="I243" s="138"/>
      <c r="J243" s="138"/>
      <c r="K243" s="138"/>
      <c r="L243" s="138"/>
    </row>
    <row r="244" spans="5:12" ht="13.2" x14ac:dyDescent="0.25">
      <c r="E244" s="138"/>
      <c r="F244" s="138"/>
      <c r="G244" s="138"/>
      <c r="H244" s="138"/>
      <c r="I244" s="138"/>
      <c r="J244" s="138"/>
      <c r="K244" s="138"/>
      <c r="L244" s="138"/>
    </row>
    <row r="245" spans="5:12" ht="13.2" x14ac:dyDescent="0.25">
      <c r="E245" s="138"/>
      <c r="F245" s="138"/>
      <c r="G245" s="138"/>
      <c r="H245" s="138"/>
      <c r="I245" s="138"/>
      <c r="J245" s="138"/>
      <c r="K245" s="138"/>
      <c r="L245" s="138"/>
    </row>
    <row r="246" spans="5:12" ht="13.2" x14ac:dyDescent="0.25">
      <c r="E246" s="138"/>
      <c r="F246" s="138"/>
      <c r="G246" s="138"/>
      <c r="H246" s="138"/>
      <c r="I246" s="138"/>
      <c r="J246" s="138"/>
      <c r="K246" s="138"/>
      <c r="L246" s="138"/>
    </row>
    <row r="247" spans="5:12" ht="13.2" x14ac:dyDescent="0.25">
      <c r="E247" s="138"/>
      <c r="F247" s="138"/>
      <c r="G247" s="138"/>
      <c r="H247" s="138"/>
      <c r="I247" s="138"/>
      <c r="J247" s="138"/>
      <c r="K247" s="138"/>
      <c r="L247" s="138"/>
    </row>
    <row r="248" spans="5:12" ht="13.2" x14ac:dyDescent="0.25">
      <c r="E248" s="138"/>
      <c r="F248" s="138"/>
      <c r="G248" s="138"/>
      <c r="H248" s="138"/>
      <c r="I248" s="138"/>
      <c r="J248" s="138"/>
      <c r="K248" s="138"/>
      <c r="L248" s="138"/>
    </row>
    <row r="249" spans="5:12" ht="13.2" x14ac:dyDescent="0.25">
      <c r="E249" s="138"/>
      <c r="F249" s="138"/>
      <c r="G249" s="138"/>
      <c r="H249" s="138"/>
      <c r="I249" s="138"/>
      <c r="J249" s="138"/>
      <c r="K249" s="138"/>
      <c r="L249" s="138"/>
    </row>
    <row r="250" spans="5:12" ht="13.2" x14ac:dyDescent="0.25">
      <c r="E250" s="138"/>
      <c r="F250" s="138"/>
      <c r="G250" s="138"/>
      <c r="H250" s="138"/>
      <c r="I250" s="138"/>
      <c r="J250" s="138"/>
      <c r="K250" s="138"/>
      <c r="L250" s="138"/>
    </row>
    <row r="251" spans="5:12" ht="13.2" x14ac:dyDescent="0.25">
      <c r="E251" s="138"/>
      <c r="F251" s="138"/>
      <c r="G251" s="138"/>
      <c r="H251" s="138"/>
      <c r="I251" s="138"/>
      <c r="J251" s="138"/>
      <c r="K251" s="138"/>
      <c r="L251" s="138"/>
    </row>
    <row r="252" spans="5:12" ht="13.2" x14ac:dyDescent="0.25">
      <c r="E252" s="138"/>
      <c r="F252" s="138"/>
      <c r="G252" s="138"/>
      <c r="H252" s="138"/>
      <c r="I252" s="138"/>
      <c r="J252" s="138"/>
      <c r="K252" s="138"/>
      <c r="L252" s="138"/>
    </row>
    <row r="253" spans="5:12" ht="13.2" x14ac:dyDescent="0.25">
      <c r="E253" s="138"/>
      <c r="F253" s="138"/>
      <c r="G253" s="138"/>
      <c r="H253" s="138"/>
      <c r="I253" s="138"/>
      <c r="J253" s="138"/>
      <c r="K253" s="138"/>
      <c r="L253" s="138"/>
    </row>
    <row r="254" spans="5:12" ht="13.2" x14ac:dyDescent="0.25">
      <c r="E254" s="138"/>
      <c r="F254" s="138"/>
      <c r="G254" s="138"/>
      <c r="H254" s="138"/>
      <c r="I254" s="138"/>
      <c r="J254" s="138"/>
      <c r="K254" s="138"/>
      <c r="L254" s="138"/>
    </row>
    <row r="255" spans="5:12" ht="13.2" x14ac:dyDescent="0.25">
      <c r="E255" s="138"/>
      <c r="F255" s="138"/>
      <c r="G255" s="138"/>
      <c r="H255" s="138"/>
      <c r="I255" s="138"/>
      <c r="J255" s="138"/>
      <c r="K255" s="138"/>
      <c r="L255" s="138"/>
    </row>
    <row r="256" spans="5:12" ht="13.2" x14ac:dyDescent="0.25">
      <c r="E256" s="138"/>
      <c r="F256" s="138"/>
      <c r="G256" s="138"/>
      <c r="H256" s="138"/>
      <c r="I256" s="138"/>
      <c r="J256" s="138"/>
      <c r="K256" s="138"/>
      <c r="L256" s="138"/>
    </row>
    <row r="257" spans="5:12" ht="13.2" x14ac:dyDescent="0.25">
      <c r="E257" s="138"/>
      <c r="F257" s="138"/>
      <c r="G257" s="138"/>
      <c r="H257" s="138"/>
      <c r="I257" s="138"/>
      <c r="J257" s="138"/>
      <c r="K257" s="138"/>
      <c r="L257" s="138"/>
    </row>
    <row r="258" spans="5:12" ht="13.2" x14ac:dyDescent="0.25">
      <c r="E258" s="138"/>
      <c r="F258" s="138"/>
      <c r="G258" s="138"/>
      <c r="H258" s="138"/>
      <c r="I258" s="138"/>
      <c r="J258" s="138"/>
      <c r="K258" s="138"/>
      <c r="L258" s="138"/>
    </row>
    <row r="259" spans="5:12" ht="13.2" x14ac:dyDescent="0.25">
      <c r="E259" s="138"/>
      <c r="F259" s="138"/>
      <c r="G259" s="138"/>
      <c r="H259" s="138"/>
      <c r="I259" s="138"/>
      <c r="J259" s="138"/>
      <c r="K259" s="138"/>
      <c r="L259" s="138"/>
    </row>
    <row r="260" spans="5:12" ht="13.2" x14ac:dyDescent="0.25">
      <c r="E260" s="138"/>
      <c r="F260" s="138"/>
      <c r="G260" s="138"/>
      <c r="H260" s="138"/>
      <c r="I260" s="138"/>
      <c r="J260" s="138"/>
      <c r="K260" s="138"/>
      <c r="L260" s="138"/>
    </row>
    <row r="261" spans="5:12" ht="13.2" x14ac:dyDescent="0.25">
      <c r="E261" s="138"/>
      <c r="F261" s="138"/>
      <c r="G261" s="138"/>
      <c r="H261" s="138"/>
      <c r="I261" s="138"/>
      <c r="J261" s="138"/>
      <c r="K261" s="138"/>
      <c r="L261" s="138"/>
    </row>
    <row r="262" spans="5:12" ht="13.2" x14ac:dyDescent="0.25">
      <c r="E262" s="138"/>
      <c r="F262" s="138"/>
      <c r="G262" s="138"/>
      <c r="H262" s="138"/>
      <c r="I262" s="138"/>
      <c r="J262" s="138"/>
      <c r="K262" s="138"/>
      <c r="L262" s="138"/>
    </row>
    <row r="263" spans="5:12" ht="13.2" x14ac:dyDescent="0.25">
      <c r="E263" s="138"/>
      <c r="F263" s="138"/>
      <c r="G263" s="138"/>
      <c r="H263" s="138"/>
      <c r="I263" s="138"/>
      <c r="J263" s="138"/>
      <c r="K263" s="138"/>
      <c r="L263" s="138"/>
    </row>
    <row r="264" spans="5:12" ht="13.2" x14ac:dyDescent="0.25">
      <c r="E264" s="138"/>
      <c r="F264" s="138"/>
      <c r="G264" s="138"/>
      <c r="H264" s="138"/>
      <c r="I264" s="138"/>
      <c r="J264" s="138"/>
      <c r="K264" s="138"/>
      <c r="L264" s="138"/>
    </row>
    <row r="265" spans="5:12" ht="13.2" x14ac:dyDescent="0.25">
      <c r="E265" s="138"/>
      <c r="F265" s="138"/>
      <c r="G265" s="138"/>
      <c r="H265" s="138"/>
      <c r="I265" s="138"/>
      <c r="J265" s="138"/>
      <c r="K265" s="138"/>
      <c r="L265" s="138"/>
    </row>
    <row r="266" spans="5:12" ht="13.2" x14ac:dyDescent="0.25">
      <c r="E266" s="138"/>
      <c r="F266" s="138"/>
      <c r="G266" s="138"/>
      <c r="H266" s="138"/>
      <c r="I266" s="138"/>
      <c r="J266" s="138"/>
      <c r="K266" s="138"/>
      <c r="L266" s="138"/>
    </row>
    <row r="267" spans="5:12" ht="13.2" x14ac:dyDescent="0.25">
      <c r="E267" s="138"/>
      <c r="F267" s="138"/>
      <c r="G267" s="138"/>
      <c r="H267" s="138"/>
      <c r="I267" s="138"/>
      <c r="J267" s="138"/>
      <c r="K267" s="138"/>
      <c r="L267" s="138"/>
    </row>
    <row r="268" spans="5:12" ht="13.2" x14ac:dyDescent="0.25">
      <c r="E268" s="138"/>
      <c r="F268" s="138"/>
      <c r="G268" s="138"/>
      <c r="H268" s="138"/>
      <c r="I268" s="138"/>
      <c r="J268" s="138"/>
      <c r="K268" s="138"/>
      <c r="L268" s="138"/>
    </row>
    <row r="269" spans="5:12" ht="13.2" x14ac:dyDescent="0.25">
      <c r="E269" s="138"/>
      <c r="F269" s="138"/>
      <c r="G269" s="138"/>
      <c r="H269" s="138"/>
      <c r="I269" s="138"/>
      <c r="J269" s="138"/>
      <c r="K269" s="138"/>
      <c r="L269" s="138"/>
    </row>
    <row r="270" spans="5:12" ht="13.2" x14ac:dyDescent="0.25">
      <c r="E270" s="138"/>
      <c r="F270" s="138"/>
      <c r="G270" s="138"/>
      <c r="H270" s="138"/>
      <c r="I270" s="138"/>
      <c r="J270" s="138"/>
      <c r="K270" s="138"/>
      <c r="L270" s="138"/>
    </row>
    <row r="271" spans="5:12" ht="13.2" x14ac:dyDescent="0.25">
      <c r="E271" s="138"/>
      <c r="F271" s="138"/>
      <c r="G271" s="138"/>
      <c r="H271" s="138"/>
      <c r="I271" s="138"/>
      <c r="J271" s="138"/>
      <c r="K271" s="138"/>
      <c r="L271" s="138"/>
    </row>
    <row r="272" spans="5:12" ht="13.2" x14ac:dyDescent="0.25">
      <c r="E272" s="138"/>
      <c r="F272" s="138"/>
      <c r="G272" s="138"/>
      <c r="H272" s="138"/>
      <c r="I272" s="138"/>
      <c r="J272" s="138"/>
      <c r="K272" s="138"/>
      <c r="L272" s="138"/>
    </row>
    <row r="273" spans="5:12" ht="13.2" x14ac:dyDescent="0.25">
      <c r="E273" s="138"/>
      <c r="F273" s="138"/>
      <c r="G273" s="138"/>
      <c r="H273" s="138"/>
      <c r="I273" s="138"/>
      <c r="J273" s="138"/>
      <c r="K273" s="138"/>
      <c r="L273" s="138"/>
    </row>
    <row r="274" spans="5:12" ht="13.2" x14ac:dyDescent="0.25">
      <c r="E274" s="138"/>
      <c r="F274" s="138"/>
      <c r="G274" s="138"/>
      <c r="H274" s="138"/>
      <c r="I274" s="138"/>
      <c r="J274" s="138"/>
      <c r="K274" s="138"/>
      <c r="L274" s="138"/>
    </row>
    <row r="275" spans="5:12" ht="13.2" x14ac:dyDescent="0.25">
      <c r="E275" s="138"/>
      <c r="F275" s="138"/>
      <c r="G275" s="138"/>
      <c r="H275" s="138"/>
      <c r="I275" s="138"/>
      <c r="J275" s="138"/>
      <c r="K275" s="138"/>
      <c r="L275" s="138"/>
    </row>
    <row r="276" spans="5:12" ht="13.2" x14ac:dyDescent="0.25">
      <c r="E276" s="138"/>
      <c r="F276" s="138"/>
      <c r="G276" s="138"/>
      <c r="H276" s="138"/>
      <c r="I276" s="138"/>
      <c r="J276" s="138"/>
      <c r="K276" s="138"/>
      <c r="L276" s="138"/>
    </row>
    <row r="277" spans="5:12" ht="13.2" x14ac:dyDescent="0.25">
      <c r="E277" s="138"/>
      <c r="F277" s="138"/>
      <c r="G277" s="138"/>
      <c r="H277" s="138"/>
      <c r="I277" s="138"/>
      <c r="J277" s="138"/>
      <c r="K277" s="138"/>
      <c r="L277" s="138"/>
    </row>
    <row r="278" spans="5:12" ht="13.2" x14ac:dyDescent="0.25">
      <c r="E278" s="138"/>
      <c r="F278" s="138"/>
      <c r="G278" s="138"/>
      <c r="H278" s="138"/>
      <c r="I278" s="138"/>
      <c r="J278" s="138"/>
      <c r="K278" s="138"/>
      <c r="L278" s="138"/>
    </row>
    <row r="279" spans="5:12" ht="13.2" x14ac:dyDescent="0.25">
      <c r="E279" s="138"/>
      <c r="F279" s="138"/>
      <c r="G279" s="138"/>
      <c r="H279" s="138"/>
      <c r="I279" s="138"/>
      <c r="J279" s="138"/>
      <c r="K279" s="138"/>
      <c r="L279" s="138"/>
    </row>
    <row r="280" spans="5:12" ht="13.2" x14ac:dyDescent="0.25">
      <c r="E280" s="138"/>
      <c r="F280" s="138"/>
      <c r="G280" s="138"/>
      <c r="H280" s="138"/>
      <c r="I280" s="138"/>
      <c r="J280" s="138"/>
      <c r="K280" s="138"/>
      <c r="L280" s="138"/>
    </row>
    <row r="281" spans="5:12" ht="13.2" x14ac:dyDescent="0.25">
      <c r="E281" s="138"/>
      <c r="F281" s="138"/>
      <c r="G281" s="138"/>
      <c r="H281" s="138"/>
      <c r="I281" s="138"/>
      <c r="J281" s="138"/>
      <c r="K281" s="138"/>
      <c r="L281" s="138"/>
    </row>
    <row r="282" spans="5:12" ht="13.2" x14ac:dyDescent="0.25">
      <c r="E282" s="138"/>
      <c r="F282" s="138"/>
      <c r="G282" s="138"/>
      <c r="H282" s="138"/>
      <c r="I282" s="138"/>
      <c r="J282" s="138"/>
      <c r="K282" s="138"/>
      <c r="L282" s="138"/>
    </row>
    <row r="283" spans="5:12" ht="13.2" x14ac:dyDescent="0.25">
      <c r="E283" s="138"/>
      <c r="F283" s="138"/>
      <c r="G283" s="138"/>
      <c r="H283" s="138"/>
      <c r="I283" s="138"/>
      <c r="J283" s="138"/>
      <c r="K283" s="138"/>
      <c r="L283" s="138"/>
    </row>
    <row r="284" spans="5:12" ht="13.2" x14ac:dyDescent="0.25">
      <c r="E284" s="138"/>
      <c r="F284" s="138"/>
      <c r="G284" s="138"/>
      <c r="H284" s="138"/>
      <c r="I284" s="138"/>
      <c r="J284" s="138"/>
      <c r="K284" s="138"/>
      <c r="L284" s="138"/>
    </row>
    <row r="285" spans="5:12" ht="13.2" x14ac:dyDescent="0.25">
      <c r="E285" s="138"/>
      <c r="F285" s="138"/>
      <c r="G285" s="138"/>
      <c r="H285" s="138"/>
      <c r="I285" s="138"/>
      <c r="J285" s="138"/>
      <c r="K285" s="138"/>
      <c r="L285" s="138"/>
    </row>
    <row r="286" spans="5:12" ht="13.2" x14ac:dyDescent="0.25">
      <c r="E286" s="138"/>
      <c r="F286" s="138"/>
      <c r="G286" s="138"/>
      <c r="H286" s="138"/>
      <c r="I286" s="138"/>
      <c r="J286" s="138"/>
      <c r="K286" s="138"/>
      <c r="L286" s="138"/>
    </row>
    <row r="287" spans="5:12" ht="13.2" x14ac:dyDescent="0.25">
      <c r="E287" s="138"/>
      <c r="F287" s="138"/>
      <c r="G287" s="138"/>
      <c r="H287" s="138"/>
      <c r="I287" s="138"/>
      <c r="J287" s="138"/>
      <c r="K287" s="138"/>
      <c r="L287" s="138"/>
    </row>
    <row r="288" spans="5:12" ht="13.2" x14ac:dyDescent="0.25">
      <c r="E288" s="138"/>
      <c r="F288" s="138"/>
      <c r="G288" s="138"/>
      <c r="H288" s="138"/>
      <c r="I288" s="138"/>
      <c r="J288" s="138"/>
      <c r="K288" s="138"/>
      <c r="L288" s="138"/>
    </row>
    <row r="289" spans="5:12" ht="13.2" x14ac:dyDescent="0.25">
      <c r="E289" s="138"/>
      <c r="F289" s="138"/>
      <c r="G289" s="138"/>
      <c r="H289" s="138"/>
      <c r="I289" s="138"/>
      <c r="J289" s="138"/>
      <c r="K289" s="138"/>
      <c r="L289" s="138"/>
    </row>
    <row r="290" spans="5:12" ht="13.2" x14ac:dyDescent="0.25">
      <c r="E290" s="138"/>
      <c r="F290" s="138"/>
      <c r="G290" s="138"/>
      <c r="H290" s="138"/>
      <c r="I290" s="138"/>
      <c r="J290" s="138"/>
      <c r="K290" s="138"/>
      <c r="L290" s="138"/>
    </row>
    <row r="291" spans="5:12" ht="13.2" x14ac:dyDescent="0.25">
      <c r="E291" s="138"/>
      <c r="F291" s="138"/>
      <c r="G291" s="138"/>
      <c r="H291" s="138"/>
      <c r="I291" s="138"/>
      <c r="J291" s="138"/>
      <c r="K291" s="138"/>
      <c r="L291" s="138"/>
    </row>
    <row r="292" spans="5:12" ht="13.2" x14ac:dyDescent="0.25">
      <c r="E292" s="138"/>
      <c r="F292" s="138"/>
      <c r="G292" s="138"/>
      <c r="H292" s="138"/>
      <c r="I292" s="138"/>
      <c r="J292" s="138"/>
      <c r="K292" s="138"/>
      <c r="L292" s="138"/>
    </row>
    <row r="293" spans="5:12" ht="13.2" x14ac:dyDescent="0.25">
      <c r="E293" s="138"/>
      <c r="F293" s="138"/>
      <c r="G293" s="138"/>
      <c r="H293" s="138"/>
      <c r="I293" s="138"/>
      <c r="J293" s="138"/>
      <c r="K293" s="138"/>
      <c r="L293" s="138"/>
    </row>
    <row r="294" spans="5:12" ht="13.2" x14ac:dyDescent="0.25">
      <c r="E294" s="138"/>
      <c r="F294" s="138"/>
      <c r="G294" s="138"/>
      <c r="H294" s="138"/>
      <c r="I294" s="138"/>
      <c r="J294" s="138"/>
      <c r="K294" s="138"/>
      <c r="L294" s="138"/>
    </row>
    <row r="295" spans="5:12" ht="13.2" x14ac:dyDescent="0.25">
      <c r="E295" s="138"/>
      <c r="F295" s="138"/>
      <c r="G295" s="138"/>
      <c r="H295" s="138"/>
      <c r="I295" s="138"/>
      <c r="J295" s="138"/>
      <c r="K295" s="138"/>
      <c r="L295" s="138"/>
    </row>
    <row r="296" spans="5:12" ht="13.2" x14ac:dyDescent="0.25">
      <c r="E296" s="138"/>
      <c r="F296" s="138"/>
      <c r="G296" s="138"/>
      <c r="H296" s="138"/>
      <c r="I296" s="138"/>
      <c r="J296" s="138"/>
      <c r="K296" s="138"/>
      <c r="L296" s="138"/>
    </row>
    <row r="297" spans="5:12" ht="13.2" x14ac:dyDescent="0.25">
      <c r="E297" s="138"/>
      <c r="F297" s="138"/>
      <c r="G297" s="138"/>
      <c r="H297" s="138"/>
      <c r="I297" s="138"/>
      <c r="J297" s="138"/>
      <c r="K297" s="138"/>
      <c r="L297" s="138"/>
    </row>
    <row r="298" spans="5:12" ht="13.2" x14ac:dyDescent="0.25">
      <c r="E298" s="138"/>
      <c r="F298" s="138"/>
      <c r="G298" s="138"/>
      <c r="H298" s="138"/>
      <c r="I298" s="138"/>
      <c r="J298" s="138"/>
      <c r="K298" s="138"/>
      <c r="L298" s="138"/>
    </row>
    <row r="299" spans="5:12" ht="13.2" x14ac:dyDescent="0.25">
      <c r="E299" s="138"/>
      <c r="F299" s="138"/>
      <c r="G299" s="138"/>
      <c r="H299" s="138"/>
      <c r="I299" s="138"/>
      <c r="J299" s="138"/>
      <c r="K299" s="138"/>
      <c r="L299" s="138"/>
    </row>
    <row r="300" spans="5:12" ht="13.2" x14ac:dyDescent="0.25">
      <c r="E300" s="138"/>
      <c r="F300" s="138"/>
      <c r="G300" s="138"/>
      <c r="H300" s="138"/>
      <c r="I300" s="138"/>
      <c r="J300" s="138"/>
      <c r="K300" s="138"/>
      <c r="L300" s="138"/>
    </row>
    <row r="301" spans="5:12" ht="13.2" x14ac:dyDescent="0.25">
      <c r="E301" s="138"/>
      <c r="F301" s="138"/>
      <c r="G301" s="138"/>
      <c r="H301" s="138"/>
      <c r="I301" s="138"/>
      <c r="J301" s="138"/>
      <c r="K301" s="138"/>
      <c r="L301" s="138"/>
    </row>
    <row r="302" spans="5:12" ht="13.2" x14ac:dyDescent="0.25">
      <c r="E302" s="138"/>
      <c r="F302" s="138"/>
      <c r="G302" s="138"/>
      <c r="H302" s="138"/>
      <c r="I302" s="138"/>
      <c r="J302" s="138"/>
      <c r="K302" s="138"/>
      <c r="L302" s="138"/>
    </row>
    <row r="303" spans="5:12" ht="13.2" x14ac:dyDescent="0.25">
      <c r="E303" s="138"/>
      <c r="F303" s="138"/>
      <c r="G303" s="138"/>
      <c r="H303" s="138"/>
      <c r="I303" s="138"/>
      <c r="J303" s="138"/>
      <c r="K303" s="138"/>
      <c r="L303" s="138"/>
    </row>
    <row r="304" spans="5:12" ht="13.2" x14ac:dyDescent="0.25">
      <c r="E304" s="138"/>
      <c r="F304" s="138"/>
      <c r="G304" s="138"/>
      <c r="H304" s="138"/>
      <c r="I304" s="138"/>
      <c r="J304" s="138"/>
      <c r="K304" s="138"/>
      <c r="L304" s="138"/>
    </row>
    <row r="305" spans="5:12" ht="13.2" x14ac:dyDescent="0.25">
      <c r="E305" s="138"/>
      <c r="F305" s="138"/>
      <c r="G305" s="138"/>
      <c r="H305" s="138"/>
      <c r="I305" s="138"/>
      <c r="J305" s="138"/>
      <c r="K305" s="138"/>
      <c r="L305" s="138"/>
    </row>
    <row r="306" spans="5:12" ht="13.2" x14ac:dyDescent="0.25">
      <c r="E306" s="138"/>
      <c r="F306" s="138"/>
      <c r="G306" s="138"/>
      <c r="H306" s="138"/>
      <c r="I306" s="138"/>
      <c r="J306" s="138"/>
      <c r="K306" s="138"/>
      <c r="L306" s="138"/>
    </row>
    <row r="307" spans="5:12" ht="13.2" x14ac:dyDescent="0.25">
      <c r="E307" s="138"/>
      <c r="F307" s="138"/>
      <c r="G307" s="138"/>
      <c r="H307" s="138"/>
      <c r="I307" s="138"/>
      <c r="J307" s="138"/>
      <c r="K307" s="138"/>
      <c r="L307" s="138"/>
    </row>
    <row r="308" spans="5:12" ht="13.2" x14ac:dyDescent="0.25">
      <c r="E308" s="138"/>
      <c r="F308" s="138"/>
      <c r="G308" s="138"/>
      <c r="H308" s="138"/>
      <c r="I308" s="138"/>
      <c r="J308" s="138"/>
      <c r="K308" s="138"/>
      <c r="L308" s="138"/>
    </row>
    <row r="309" spans="5:12" ht="13.2" x14ac:dyDescent="0.25">
      <c r="E309" s="138"/>
      <c r="F309" s="138"/>
      <c r="G309" s="138"/>
      <c r="H309" s="138"/>
      <c r="I309" s="138"/>
      <c r="J309" s="138"/>
      <c r="K309" s="138"/>
      <c r="L309" s="138"/>
    </row>
    <row r="310" spans="5:12" ht="13.2" x14ac:dyDescent="0.25">
      <c r="E310" s="138"/>
      <c r="F310" s="138"/>
      <c r="G310" s="138"/>
      <c r="H310" s="138"/>
      <c r="I310" s="138"/>
      <c r="J310" s="138"/>
      <c r="K310" s="138"/>
      <c r="L310" s="138"/>
    </row>
    <row r="311" spans="5:12" ht="13.2" x14ac:dyDescent="0.25">
      <c r="E311" s="138"/>
      <c r="F311" s="138"/>
      <c r="G311" s="138"/>
      <c r="H311" s="138"/>
      <c r="I311" s="138"/>
      <c r="J311" s="138"/>
      <c r="K311" s="138"/>
      <c r="L311" s="138"/>
    </row>
    <row r="312" spans="5:12" ht="13.2" x14ac:dyDescent="0.25">
      <c r="E312" s="138"/>
      <c r="F312" s="138"/>
      <c r="G312" s="138"/>
      <c r="H312" s="138"/>
      <c r="I312" s="138"/>
      <c r="J312" s="138"/>
      <c r="K312" s="138"/>
      <c r="L312" s="138"/>
    </row>
    <row r="313" spans="5:12" ht="13.2" x14ac:dyDescent="0.25">
      <c r="E313" s="138"/>
      <c r="F313" s="138"/>
      <c r="G313" s="138"/>
      <c r="H313" s="138"/>
      <c r="I313" s="138"/>
      <c r="J313" s="138"/>
      <c r="K313" s="138"/>
      <c r="L313" s="138"/>
    </row>
    <row r="314" spans="5:12" ht="13.2" x14ac:dyDescent="0.25">
      <c r="E314" s="138"/>
      <c r="F314" s="138"/>
      <c r="G314" s="138"/>
      <c r="H314" s="138"/>
      <c r="I314" s="138"/>
      <c r="J314" s="138"/>
      <c r="K314" s="138"/>
      <c r="L314" s="138"/>
    </row>
    <row r="315" spans="5:12" ht="13.2" x14ac:dyDescent="0.25">
      <c r="E315" s="138"/>
      <c r="F315" s="138"/>
      <c r="G315" s="138"/>
      <c r="H315" s="138"/>
      <c r="I315" s="138"/>
      <c r="J315" s="138"/>
      <c r="K315" s="138"/>
      <c r="L315" s="138"/>
    </row>
    <row r="316" spans="5:12" ht="13.2" x14ac:dyDescent="0.25">
      <c r="E316" s="138"/>
      <c r="F316" s="138"/>
      <c r="G316" s="138"/>
      <c r="H316" s="138"/>
      <c r="I316" s="138"/>
      <c r="J316" s="138"/>
      <c r="K316" s="138"/>
      <c r="L316" s="138"/>
    </row>
    <row r="317" spans="5:12" ht="13.2" x14ac:dyDescent="0.25">
      <c r="E317" s="138"/>
      <c r="F317" s="138"/>
      <c r="G317" s="138"/>
      <c r="H317" s="138"/>
      <c r="I317" s="138"/>
      <c r="J317" s="138"/>
      <c r="K317" s="138"/>
      <c r="L317" s="138"/>
    </row>
    <row r="318" spans="5:12" ht="13.2" x14ac:dyDescent="0.25">
      <c r="E318" s="138"/>
      <c r="F318" s="138"/>
      <c r="G318" s="138"/>
      <c r="H318" s="138"/>
      <c r="I318" s="138"/>
      <c r="J318" s="138"/>
      <c r="K318" s="138"/>
      <c r="L318" s="138"/>
    </row>
    <row r="319" spans="5:12" ht="13.2" x14ac:dyDescent="0.25">
      <c r="E319" s="138"/>
      <c r="F319" s="138"/>
      <c r="G319" s="138"/>
      <c r="H319" s="138"/>
      <c r="I319" s="138"/>
      <c r="J319" s="138"/>
      <c r="K319" s="138"/>
      <c r="L319" s="138"/>
    </row>
    <row r="320" spans="5:12" ht="13.2" x14ac:dyDescent="0.25">
      <c r="E320" s="138"/>
      <c r="F320" s="138"/>
      <c r="G320" s="138"/>
      <c r="H320" s="138"/>
      <c r="I320" s="138"/>
      <c r="J320" s="138"/>
      <c r="K320" s="138"/>
      <c r="L320" s="138"/>
    </row>
    <row r="321" spans="5:12" ht="13.2" x14ac:dyDescent="0.25">
      <c r="E321" s="138"/>
      <c r="F321" s="138"/>
      <c r="G321" s="138"/>
      <c r="H321" s="138"/>
      <c r="I321" s="138"/>
      <c r="J321" s="138"/>
      <c r="K321" s="138"/>
      <c r="L321" s="138"/>
    </row>
    <row r="322" spans="5:12" ht="13.2" x14ac:dyDescent="0.25">
      <c r="E322" s="138"/>
      <c r="F322" s="138"/>
      <c r="G322" s="138"/>
      <c r="H322" s="138"/>
      <c r="I322" s="138"/>
      <c r="J322" s="138"/>
      <c r="K322" s="138"/>
      <c r="L322" s="138"/>
    </row>
    <row r="323" spans="5:12" ht="13.2" x14ac:dyDescent="0.25">
      <c r="E323" s="138"/>
      <c r="F323" s="138"/>
      <c r="G323" s="138"/>
      <c r="H323" s="138"/>
      <c r="I323" s="138"/>
      <c r="J323" s="138"/>
      <c r="K323" s="138"/>
      <c r="L323" s="138"/>
    </row>
    <row r="324" spans="5:12" ht="13.2" x14ac:dyDescent="0.25">
      <c r="E324" s="138"/>
      <c r="F324" s="138"/>
      <c r="G324" s="138"/>
      <c r="H324" s="138"/>
      <c r="I324" s="138"/>
      <c r="J324" s="138"/>
      <c r="K324" s="138"/>
      <c r="L324" s="138"/>
    </row>
    <row r="325" spans="5:12" ht="13.2" x14ac:dyDescent="0.25">
      <c r="E325" s="138"/>
      <c r="F325" s="138"/>
      <c r="G325" s="138"/>
      <c r="H325" s="138"/>
      <c r="I325" s="138"/>
      <c r="J325" s="138"/>
      <c r="K325" s="138"/>
      <c r="L325" s="138"/>
    </row>
    <row r="326" spans="5:12" ht="13.2" x14ac:dyDescent="0.25">
      <c r="E326" s="138"/>
      <c r="F326" s="138"/>
      <c r="G326" s="138"/>
      <c r="H326" s="138"/>
      <c r="I326" s="138"/>
      <c r="J326" s="138"/>
      <c r="K326" s="138"/>
      <c r="L326" s="138"/>
    </row>
    <row r="327" spans="5:12" ht="13.2" x14ac:dyDescent="0.25">
      <c r="E327" s="138"/>
      <c r="F327" s="138"/>
      <c r="G327" s="138"/>
      <c r="H327" s="138"/>
      <c r="I327" s="138"/>
      <c r="J327" s="138"/>
      <c r="K327" s="138"/>
      <c r="L327" s="138"/>
    </row>
    <row r="328" spans="5:12" ht="13.2" x14ac:dyDescent="0.25">
      <c r="E328" s="138"/>
      <c r="F328" s="138"/>
      <c r="G328" s="138"/>
      <c r="H328" s="138"/>
      <c r="I328" s="138"/>
      <c r="J328" s="138"/>
      <c r="K328" s="138"/>
      <c r="L328" s="138"/>
    </row>
    <row r="329" spans="5:12" ht="13.2" x14ac:dyDescent="0.25">
      <c r="E329" s="138"/>
      <c r="F329" s="138"/>
      <c r="G329" s="138"/>
      <c r="H329" s="138"/>
      <c r="I329" s="138"/>
      <c r="J329" s="138"/>
      <c r="K329" s="138"/>
      <c r="L329" s="138"/>
    </row>
    <row r="330" spans="5:12" ht="13.2" x14ac:dyDescent="0.25">
      <c r="E330" s="138"/>
      <c r="F330" s="138"/>
      <c r="G330" s="138"/>
      <c r="H330" s="138"/>
      <c r="I330" s="138"/>
      <c r="J330" s="138"/>
      <c r="K330" s="138"/>
      <c r="L330" s="138"/>
    </row>
    <row r="331" spans="5:12" ht="13.2" x14ac:dyDescent="0.25">
      <c r="E331" s="138"/>
      <c r="F331" s="138"/>
      <c r="G331" s="138"/>
      <c r="H331" s="138"/>
      <c r="I331" s="138"/>
      <c r="J331" s="138"/>
      <c r="K331" s="138"/>
      <c r="L331" s="138"/>
    </row>
    <row r="332" spans="5:12" ht="13.2" x14ac:dyDescent="0.25">
      <c r="E332" s="138"/>
      <c r="F332" s="138"/>
      <c r="G332" s="138"/>
      <c r="H332" s="138"/>
      <c r="I332" s="138"/>
      <c r="J332" s="138"/>
      <c r="K332" s="138"/>
      <c r="L332" s="138"/>
    </row>
    <row r="333" spans="5:12" ht="13.2" x14ac:dyDescent="0.25">
      <c r="E333" s="138"/>
      <c r="F333" s="138"/>
      <c r="G333" s="138"/>
      <c r="H333" s="138"/>
      <c r="I333" s="138"/>
      <c r="J333" s="138"/>
      <c r="K333" s="138"/>
      <c r="L333" s="138"/>
    </row>
    <row r="334" spans="5:12" ht="13.2" x14ac:dyDescent="0.25">
      <c r="E334" s="138"/>
      <c r="F334" s="138"/>
      <c r="G334" s="138"/>
      <c r="H334" s="138"/>
      <c r="I334" s="138"/>
      <c r="J334" s="138"/>
      <c r="K334" s="138"/>
      <c r="L334" s="138"/>
    </row>
    <row r="335" spans="5:12" ht="13.2" x14ac:dyDescent="0.25">
      <c r="E335" s="138"/>
      <c r="F335" s="138"/>
      <c r="G335" s="138"/>
      <c r="H335" s="138"/>
      <c r="I335" s="138"/>
      <c r="J335" s="138"/>
      <c r="K335" s="138"/>
      <c r="L335" s="138"/>
    </row>
    <row r="336" spans="5:12" ht="13.2" x14ac:dyDescent="0.25">
      <c r="E336" s="138"/>
      <c r="F336" s="138"/>
      <c r="G336" s="138"/>
      <c r="H336" s="138"/>
      <c r="I336" s="138"/>
      <c r="J336" s="138"/>
      <c r="K336" s="138"/>
      <c r="L336" s="138"/>
    </row>
    <row r="337" spans="5:12" ht="13.2" x14ac:dyDescent="0.25">
      <c r="E337" s="138"/>
      <c r="F337" s="138"/>
      <c r="G337" s="138"/>
      <c r="H337" s="138"/>
      <c r="I337" s="138"/>
      <c r="J337" s="138"/>
      <c r="K337" s="138"/>
      <c r="L337" s="138"/>
    </row>
    <row r="338" spans="5:12" ht="13.2" x14ac:dyDescent="0.25">
      <c r="E338" s="138"/>
      <c r="F338" s="138"/>
      <c r="G338" s="138"/>
      <c r="H338" s="138"/>
      <c r="I338" s="138"/>
      <c r="J338" s="138"/>
      <c r="K338" s="138"/>
      <c r="L338" s="138"/>
    </row>
    <row r="339" spans="5:12" ht="13.2" x14ac:dyDescent="0.25">
      <c r="E339" s="138"/>
      <c r="F339" s="138"/>
      <c r="G339" s="138"/>
      <c r="H339" s="138"/>
      <c r="I339" s="138"/>
      <c r="J339" s="138"/>
      <c r="K339" s="138"/>
      <c r="L339" s="138"/>
    </row>
    <row r="340" spans="5:12" ht="13.2" x14ac:dyDescent="0.25">
      <c r="E340" s="138"/>
      <c r="F340" s="138"/>
      <c r="G340" s="138"/>
      <c r="H340" s="138"/>
      <c r="I340" s="138"/>
      <c r="J340" s="138"/>
      <c r="K340" s="138"/>
      <c r="L340" s="138"/>
    </row>
    <row r="341" spans="5:12" ht="13.2" x14ac:dyDescent="0.25">
      <c r="E341" s="138"/>
      <c r="F341" s="138"/>
      <c r="G341" s="138"/>
      <c r="H341" s="138"/>
      <c r="I341" s="138"/>
      <c r="J341" s="138"/>
      <c r="K341" s="138"/>
      <c r="L341" s="138"/>
    </row>
    <row r="342" spans="5:12" ht="13.2" x14ac:dyDescent="0.25">
      <c r="E342" s="138"/>
      <c r="F342" s="138"/>
      <c r="G342" s="138"/>
      <c r="H342" s="138"/>
      <c r="I342" s="138"/>
      <c r="J342" s="138"/>
      <c r="K342" s="138"/>
      <c r="L342" s="138"/>
    </row>
    <row r="343" spans="5:12" ht="13.2" x14ac:dyDescent="0.25">
      <c r="E343" s="138"/>
      <c r="F343" s="138"/>
      <c r="G343" s="138"/>
      <c r="H343" s="138"/>
      <c r="I343" s="138"/>
      <c r="J343" s="138"/>
      <c r="K343" s="138"/>
      <c r="L343" s="138"/>
    </row>
    <row r="344" spans="5:12" ht="13.2" x14ac:dyDescent="0.25">
      <c r="E344" s="138"/>
      <c r="F344" s="138"/>
      <c r="G344" s="138"/>
      <c r="H344" s="138"/>
      <c r="I344" s="138"/>
      <c r="J344" s="138"/>
      <c r="K344" s="138"/>
      <c r="L344" s="138"/>
    </row>
    <row r="345" spans="5:12" ht="13.2" x14ac:dyDescent="0.25">
      <c r="E345" s="138"/>
      <c r="F345" s="138"/>
      <c r="G345" s="138"/>
      <c r="H345" s="138"/>
      <c r="I345" s="138"/>
      <c r="J345" s="138"/>
      <c r="K345" s="138"/>
      <c r="L345" s="138"/>
    </row>
    <row r="346" spans="5:12" ht="13.2" x14ac:dyDescent="0.25">
      <c r="E346" s="138"/>
      <c r="F346" s="138"/>
      <c r="G346" s="138"/>
      <c r="H346" s="138"/>
      <c r="I346" s="138"/>
      <c r="J346" s="138"/>
      <c r="K346" s="138"/>
      <c r="L346" s="138"/>
    </row>
    <row r="347" spans="5:12" ht="13.2" x14ac:dyDescent="0.25">
      <c r="E347" s="138"/>
      <c r="F347" s="138"/>
      <c r="G347" s="138"/>
      <c r="H347" s="138"/>
      <c r="I347" s="138"/>
      <c r="J347" s="138"/>
      <c r="K347" s="138"/>
      <c r="L347" s="138"/>
    </row>
    <row r="348" spans="5:12" ht="13.2" x14ac:dyDescent="0.25">
      <c r="E348" s="138"/>
      <c r="F348" s="138"/>
      <c r="G348" s="138"/>
      <c r="H348" s="138"/>
      <c r="I348" s="138"/>
      <c r="J348" s="138"/>
      <c r="K348" s="138"/>
      <c r="L348" s="138"/>
    </row>
    <row r="349" spans="5:12" ht="13.2" x14ac:dyDescent="0.25">
      <c r="E349" s="138"/>
      <c r="F349" s="138"/>
      <c r="G349" s="138"/>
      <c r="H349" s="138"/>
      <c r="I349" s="138"/>
      <c r="J349" s="138"/>
      <c r="K349" s="138"/>
      <c r="L349" s="138"/>
    </row>
    <row r="350" spans="5:12" ht="13.2" x14ac:dyDescent="0.25">
      <c r="E350" s="138"/>
      <c r="F350" s="138"/>
      <c r="G350" s="138"/>
      <c r="H350" s="138"/>
      <c r="I350" s="138"/>
      <c r="J350" s="138"/>
      <c r="K350" s="138"/>
      <c r="L350" s="138"/>
    </row>
    <row r="351" spans="5:12" ht="13.2" x14ac:dyDescent="0.25">
      <c r="E351" s="138"/>
      <c r="F351" s="138"/>
      <c r="G351" s="138"/>
      <c r="H351" s="138"/>
      <c r="I351" s="138"/>
      <c r="J351" s="138"/>
      <c r="K351" s="138"/>
      <c r="L351" s="138"/>
    </row>
    <row r="352" spans="5:12" ht="13.2" x14ac:dyDescent="0.25">
      <c r="E352" s="138"/>
      <c r="F352" s="138"/>
      <c r="G352" s="138"/>
      <c r="H352" s="138"/>
      <c r="I352" s="138"/>
      <c r="J352" s="138"/>
      <c r="K352" s="138"/>
      <c r="L352" s="138"/>
    </row>
    <row r="353" spans="5:12" ht="13.2" x14ac:dyDescent="0.25">
      <c r="E353" s="138"/>
      <c r="F353" s="138"/>
      <c r="G353" s="138"/>
      <c r="H353" s="138"/>
      <c r="I353" s="138"/>
      <c r="J353" s="138"/>
      <c r="K353" s="138"/>
      <c r="L353" s="138"/>
    </row>
    <row r="354" spans="5:12" ht="13.2" x14ac:dyDescent="0.25">
      <c r="E354" s="138"/>
      <c r="F354" s="138"/>
      <c r="G354" s="138"/>
      <c r="H354" s="138"/>
      <c r="I354" s="138"/>
      <c r="J354" s="138"/>
      <c r="K354" s="138"/>
      <c r="L354" s="138"/>
    </row>
    <row r="355" spans="5:12" ht="13.2" x14ac:dyDescent="0.25">
      <c r="E355" s="138"/>
      <c r="F355" s="138"/>
      <c r="G355" s="138"/>
      <c r="H355" s="138"/>
      <c r="I355" s="138"/>
      <c r="J355" s="138"/>
      <c r="K355" s="138"/>
      <c r="L355" s="138"/>
    </row>
    <row r="356" spans="5:12" ht="13.2" x14ac:dyDescent="0.25">
      <c r="E356" s="138"/>
      <c r="F356" s="138"/>
      <c r="G356" s="138"/>
      <c r="H356" s="138"/>
      <c r="I356" s="138"/>
      <c r="J356" s="138"/>
      <c r="K356" s="138"/>
      <c r="L356" s="138"/>
    </row>
    <row r="357" spans="5:12" ht="13.2" x14ac:dyDescent="0.25">
      <c r="E357" s="138"/>
      <c r="F357" s="138"/>
      <c r="G357" s="138"/>
      <c r="H357" s="138"/>
      <c r="I357" s="138"/>
      <c r="J357" s="138"/>
      <c r="K357" s="138"/>
      <c r="L357" s="138"/>
    </row>
    <row r="358" spans="5:12" ht="13.2" x14ac:dyDescent="0.25">
      <c r="E358" s="138"/>
      <c r="F358" s="138"/>
      <c r="G358" s="138"/>
      <c r="H358" s="138"/>
      <c r="I358" s="138"/>
      <c r="J358" s="138"/>
      <c r="K358" s="138"/>
      <c r="L358" s="138"/>
    </row>
    <row r="359" spans="5:12" ht="13.2" x14ac:dyDescent="0.25">
      <c r="E359" s="138"/>
      <c r="F359" s="138"/>
      <c r="G359" s="138"/>
      <c r="H359" s="138"/>
      <c r="I359" s="138"/>
      <c r="J359" s="138"/>
      <c r="K359" s="138"/>
      <c r="L359" s="138"/>
    </row>
    <row r="360" spans="5:12" ht="13.2" x14ac:dyDescent="0.25">
      <c r="E360" s="138"/>
      <c r="F360" s="138"/>
      <c r="G360" s="138"/>
      <c r="H360" s="138"/>
      <c r="I360" s="138"/>
      <c r="J360" s="138"/>
      <c r="K360" s="138"/>
      <c r="L360" s="138"/>
    </row>
    <row r="361" spans="5:12" ht="13.2" x14ac:dyDescent="0.25">
      <c r="E361" s="138"/>
      <c r="F361" s="138"/>
      <c r="G361" s="138"/>
      <c r="H361" s="138"/>
      <c r="I361" s="138"/>
      <c r="J361" s="138"/>
      <c r="K361" s="138"/>
      <c r="L361" s="138"/>
    </row>
    <row r="362" spans="5:12" ht="13.2" x14ac:dyDescent="0.25">
      <c r="E362" s="138"/>
      <c r="F362" s="138"/>
      <c r="G362" s="138"/>
      <c r="H362" s="138"/>
      <c r="I362" s="138"/>
      <c r="J362" s="138"/>
      <c r="K362" s="138"/>
      <c r="L362" s="138"/>
    </row>
    <row r="363" spans="5:12" ht="13.2" x14ac:dyDescent="0.25">
      <c r="E363" s="138"/>
      <c r="F363" s="138"/>
      <c r="G363" s="138"/>
      <c r="H363" s="138"/>
      <c r="I363" s="138"/>
      <c r="J363" s="138"/>
      <c r="K363" s="138"/>
      <c r="L363" s="138"/>
    </row>
    <row r="364" spans="5:12" ht="13.2" x14ac:dyDescent="0.25">
      <c r="E364" s="138"/>
      <c r="F364" s="138"/>
      <c r="G364" s="138"/>
      <c r="H364" s="138"/>
      <c r="I364" s="138"/>
      <c r="J364" s="138"/>
      <c r="K364" s="138"/>
      <c r="L364" s="138"/>
    </row>
    <row r="365" spans="5:12" ht="13.2" x14ac:dyDescent="0.25">
      <c r="E365" s="138"/>
      <c r="F365" s="138"/>
      <c r="G365" s="138"/>
      <c r="H365" s="138"/>
      <c r="I365" s="138"/>
      <c r="J365" s="138"/>
      <c r="K365" s="138"/>
      <c r="L365" s="138"/>
    </row>
    <row r="366" spans="5:12" ht="13.2" x14ac:dyDescent="0.25">
      <c r="E366" s="138"/>
      <c r="F366" s="138"/>
      <c r="G366" s="138"/>
      <c r="H366" s="138"/>
      <c r="I366" s="138"/>
      <c r="J366" s="138"/>
      <c r="K366" s="138"/>
      <c r="L366" s="138"/>
    </row>
    <row r="367" spans="5:12" ht="13.2" x14ac:dyDescent="0.25">
      <c r="E367" s="138"/>
      <c r="F367" s="138"/>
      <c r="G367" s="138"/>
      <c r="H367" s="138"/>
      <c r="I367" s="138"/>
      <c r="J367" s="138"/>
      <c r="K367" s="138"/>
      <c r="L367" s="138"/>
    </row>
    <row r="368" spans="5:12" ht="13.2" x14ac:dyDescent="0.25">
      <c r="E368" s="138"/>
      <c r="F368" s="138"/>
      <c r="G368" s="138"/>
      <c r="H368" s="138"/>
      <c r="I368" s="138"/>
      <c r="J368" s="138"/>
      <c r="K368" s="138"/>
      <c r="L368" s="138"/>
    </row>
    <row r="369" spans="5:12" ht="13.2" x14ac:dyDescent="0.25">
      <c r="E369" s="138"/>
      <c r="F369" s="138"/>
      <c r="G369" s="138"/>
      <c r="H369" s="138"/>
      <c r="I369" s="138"/>
      <c r="J369" s="138"/>
      <c r="K369" s="138"/>
      <c r="L369" s="138"/>
    </row>
    <row r="370" spans="5:12" ht="13.2" x14ac:dyDescent="0.25">
      <c r="E370" s="138"/>
      <c r="F370" s="138"/>
      <c r="G370" s="138"/>
      <c r="H370" s="138"/>
      <c r="I370" s="138"/>
      <c r="J370" s="138"/>
      <c r="K370" s="138"/>
      <c r="L370" s="138"/>
    </row>
    <row r="371" spans="5:12" ht="13.2" x14ac:dyDescent="0.25">
      <c r="E371" s="138"/>
      <c r="F371" s="138"/>
      <c r="G371" s="138"/>
      <c r="H371" s="138"/>
      <c r="I371" s="138"/>
      <c r="J371" s="138"/>
      <c r="K371" s="138"/>
      <c r="L371" s="138"/>
    </row>
    <row r="372" spans="5:12" ht="13.2" x14ac:dyDescent="0.25">
      <c r="E372" s="138"/>
      <c r="F372" s="138"/>
      <c r="G372" s="138"/>
      <c r="H372" s="138"/>
      <c r="I372" s="138"/>
      <c r="J372" s="138"/>
      <c r="K372" s="138"/>
      <c r="L372" s="138"/>
    </row>
    <row r="373" spans="5:12" ht="13.2" x14ac:dyDescent="0.25">
      <c r="E373" s="138"/>
      <c r="F373" s="138"/>
      <c r="G373" s="138"/>
      <c r="H373" s="138"/>
      <c r="I373" s="138"/>
      <c r="J373" s="138"/>
      <c r="K373" s="138"/>
      <c r="L373" s="138"/>
    </row>
    <row r="374" spans="5:12" ht="13.2" x14ac:dyDescent="0.25">
      <c r="E374" s="138"/>
      <c r="F374" s="138"/>
      <c r="G374" s="138"/>
      <c r="H374" s="138"/>
      <c r="I374" s="138"/>
      <c r="J374" s="138"/>
      <c r="K374" s="138"/>
      <c r="L374" s="138"/>
    </row>
    <row r="375" spans="5:12" ht="13.2" x14ac:dyDescent="0.25">
      <c r="E375" s="138"/>
      <c r="F375" s="138"/>
      <c r="G375" s="138"/>
      <c r="H375" s="138"/>
      <c r="I375" s="138"/>
      <c r="J375" s="138"/>
      <c r="K375" s="138"/>
      <c r="L375" s="138"/>
    </row>
    <row r="376" spans="5:12" ht="13.2" x14ac:dyDescent="0.25">
      <c r="E376" s="138"/>
      <c r="F376" s="138"/>
      <c r="G376" s="138"/>
      <c r="H376" s="138"/>
      <c r="I376" s="138"/>
      <c r="J376" s="138"/>
      <c r="K376" s="138"/>
      <c r="L376" s="138"/>
    </row>
    <row r="377" spans="5:12" ht="13.2" x14ac:dyDescent="0.25">
      <c r="E377" s="138"/>
      <c r="F377" s="138"/>
      <c r="G377" s="138"/>
      <c r="H377" s="138"/>
      <c r="I377" s="138"/>
      <c r="J377" s="138"/>
      <c r="K377" s="138"/>
      <c r="L377" s="138"/>
    </row>
    <row r="378" spans="5:12" ht="13.2" x14ac:dyDescent="0.25">
      <c r="E378" s="138"/>
      <c r="F378" s="138"/>
      <c r="G378" s="138"/>
      <c r="H378" s="138"/>
      <c r="I378" s="138"/>
      <c r="J378" s="138"/>
      <c r="K378" s="138"/>
      <c r="L378" s="138"/>
    </row>
    <row r="379" spans="5:12" ht="13.2" x14ac:dyDescent="0.25">
      <c r="E379" s="138"/>
      <c r="F379" s="138"/>
      <c r="G379" s="138"/>
      <c r="H379" s="138"/>
      <c r="I379" s="138"/>
      <c r="J379" s="138"/>
      <c r="K379" s="138"/>
      <c r="L379" s="138"/>
    </row>
    <row r="380" spans="5:12" ht="13.2" x14ac:dyDescent="0.25">
      <c r="E380" s="138"/>
      <c r="F380" s="138"/>
      <c r="G380" s="138"/>
      <c r="H380" s="138"/>
      <c r="I380" s="138"/>
      <c r="J380" s="138"/>
      <c r="K380" s="138"/>
      <c r="L380" s="138"/>
    </row>
    <row r="381" spans="5:12" ht="13.2" x14ac:dyDescent="0.25">
      <c r="E381" s="138"/>
      <c r="F381" s="138"/>
      <c r="G381" s="138"/>
      <c r="H381" s="138"/>
      <c r="I381" s="138"/>
      <c r="J381" s="138"/>
      <c r="K381" s="138"/>
      <c r="L381" s="138"/>
    </row>
    <row r="382" spans="5:12" ht="13.2" x14ac:dyDescent="0.25">
      <c r="E382" s="138"/>
      <c r="F382" s="138"/>
      <c r="G382" s="138"/>
      <c r="H382" s="138"/>
      <c r="I382" s="138"/>
      <c r="J382" s="138"/>
      <c r="K382" s="138"/>
      <c r="L382" s="138"/>
    </row>
    <row r="383" spans="5:12" ht="13.2" x14ac:dyDescent="0.25">
      <c r="E383" s="138"/>
      <c r="F383" s="138"/>
      <c r="G383" s="138"/>
      <c r="H383" s="138"/>
      <c r="I383" s="138"/>
      <c r="J383" s="138"/>
      <c r="K383" s="138"/>
      <c r="L383" s="138"/>
    </row>
    <row r="384" spans="5:12" ht="13.2" x14ac:dyDescent="0.25">
      <c r="E384" s="138"/>
      <c r="F384" s="138"/>
      <c r="G384" s="138"/>
      <c r="H384" s="138"/>
      <c r="I384" s="138"/>
      <c r="J384" s="138"/>
      <c r="K384" s="138"/>
      <c r="L384" s="138"/>
    </row>
    <row r="385" spans="5:12" ht="13.2" x14ac:dyDescent="0.25">
      <c r="E385" s="138"/>
      <c r="F385" s="138"/>
      <c r="G385" s="138"/>
      <c r="H385" s="138"/>
      <c r="I385" s="138"/>
      <c r="J385" s="138"/>
      <c r="K385" s="138"/>
      <c r="L385" s="138"/>
    </row>
    <row r="386" spans="5:12" ht="13.2" x14ac:dyDescent="0.25">
      <c r="E386" s="138"/>
      <c r="F386" s="138"/>
      <c r="G386" s="138"/>
      <c r="H386" s="138"/>
      <c r="I386" s="138"/>
      <c r="J386" s="138"/>
      <c r="K386" s="138"/>
      <c r="L386" s="138"/>
    </row>
    <row r="387" spans="5:12" ht="13.2" x14ac:dyDescent="0.25">
      <c r="E387" s="138"/>
      <c r="F387" s="138"/>
      <c r="G387" s="138"/>
      <c r="H387" s="138"/>
      <c r="I387" s="138"/>
      <c r="J387" s="138"/>
      <c r="K387" s="138"/>
      <c r="L387" s="138"/>
    </row>
    <row r="388" spans="5:12" ht="13.2" x14ac:dyDescent="0.25">
      <c r="E388" s="138"/>
      <c r="F388" s="138"/>
      <c r="G388" s="138"/>
      <c r="H388" s="138"/>
      <c r="I388" s="138"/>
      <c r="J388" s="138"/>
      <c r="K388" s="138"/>
      <c r="L388" s="138"/>
    </row>
    <row r="389" spans="5:12" ht="13.2" x14ac:dyDescent="0.25">
      <c r="E389" s="138"/>
      <c r="F389" s="138"/>
      <c r="G389" s="138"/>
      <c r="H389" s="138"/>
      <c r="I389" s="138"/>
      <c r="J389" s="138"/>
      <c r="K389" s="138"/>
      <c r="L389" s="138"/>
    </row>
    <row r="390" spans="5:12" ht="13.2" x14ac:dyDescent="0.25">
      <c r="E390" s="138"/>
      <c r="F390" s="138"/>
      <c r="G390" s="138"/>
      <c r="H390" s="138"/>
      <c r="I390" s="138"/>
      <c r="J390" s="138"/>
      <c r="K390" s="138"/>
      <c r="L390" s="138"/>
    </row>
    <row r="391" spans="5:12" ht="13.2" x14ac:dyDescent="0.25">
      <c r="E391" s="138"/>
      <c r="F391" s="138"/>
      <c r="G391" s="138"/>
      <c r="H391" s="138"/>
      <c r="I391" s="138"/>
      <c r="J391" s="138"/>
      <c r="K391" s="138"/>
      <c r="L391" s="138"/>
    </row>
    <row r="392" spans="5:12" ht="13.2" x14ac:dyDescent="0.25">
      <c r="E392" s="138"/>
      <c r="F392" s="138"/>
      <c r="G392" s="138"/>
      <c r="H392" s="138"/>
      <c r="I392" s="138"/>
      <c r="J392" s="138"/>
      <c r="K392" s="138"/>
      <c r="L392" s="138"/>
    </row>
    <row r="393" spans="5:12" ht="13.2" x14ac:dyDescent="0.25">
      <c r="E393" s="138"/>
      <c r="F393" s="138"/>
      <c r="G393" s="138"/>
      <c r="H393" s="138"/>
      <c r="I393" s="138"/>
      <c r="J393" s="138"/>
      <c r="K393" s="138"/>
      <c r="L393" s="138"/>
    </row>
    <row r="394" spans="5:12" ht="13.2" x14ac:dyDescent="0.25">
      <c r="E394" s="138"/>
      <c r="F394" s="138"/>
      <c r="G394" s="138"/>
      <c r="H394" s="138"/>
      <c r="I394" s="138"/>
      <c r="J394" s="138"/>
      <c r="K394" s="138"/>
      <c r="L394" s="138"/>
    </row>
    <row r="395" spans="5:12" ht="13.2" x14ac:dyDescent="0.25">
      <c r="E395" s="138"/>
      <c r="F395" s="138"/>
      <c r="G395" s="138"/>
      <c r="H395" s="138"/>
      <c r="I395" s="138"/>
      <c r="J395" s="138"/>
      <c r="K395" s="138"/>
      <c r="L395" s="138"/>
    </row>
    <row r="396" spans="5:12" ht="13.2" x14ac:dyDescent="0.25">
      <c r="E396" s="138"/>
      <c r="F396" s="138"/>
      <c r="G396" s="138"/>
      <c r="H396" s="138"/>
      <c r="I396" s="138"/>
      <c r="J396" s="138"/>
      <c r="K396" s="138"/>
      <c r="L396" s="138"/>
    </row>
    <row r="397" spans="5:12" ht="13.2" x14ac:dyDescent="0.25">
      <c r="E397" s="138"/>
      <c r="F397" s="138"/>
      <c r="G397" s="138"/>
      <c r="H397" s="138"/>
      <c r="I397" s="138"/>
      <c r="J397" s="138"/>
      <c r="K397" s="138"/>
      <c r="L397" s="138"/>
    </row>
    <row r="398" spans="5:12" ht="13.2" x14ac:dyDescent="0.25">
      <c r="E398" s="138"/>
      <c r="F398" s="138"/>
      <c r="G398" s="138"/>
      <c r="H398" s="138"/>
      <c r="I398" s="138"/>
      <c r="J398" s="138"/>
      <c r="K398" s="138"/>
      <c r="L398" s="138"/>
    </row>
    <row r="399" spans="5:12" ht="13.2" x14ac:dyDescent="0.25">
      <c r="E399" s="138"/>
      <c r="F399" s="138"/>
      <c r="G399" s="138"/>
      <c r="H399" s="138"/>
      <c r="I399" s="138"/>
      <c r="J399" s="138"/>
      <c r="K399" s="138"/>
      <c r="L399" s="138"/>
    </row>
    <row r="400" spans="5:12" ht="13.2" x14ac:dyDescent="0.25">
      <c r="E400" s="138"/>
      <c r="F400" s="138"/>
      <c r="G400" s="138"/>
      <c r="H400" s="138"/>
      <c r="I400" s="138"/>
      <c r="J400" s="138"/>
      <c r="K400" s="138"/>
      <c r="L400" s="138"/>
    </row>
    <row r="401" spans="5:12" ht="13.2" x14ac:dyDescent="0.25">
      <c r="E401" s="138"/>
      <c r="F401" s="138"/>
      <c r="G401" s="138"/>
      <c r="H401" s="138"/>
      <c r="I401" s="138"/>
      <c r="J401" s="138"/>
      <c r="K401" s="138"/>
      <c r="L401" s="138"/>
    </row>
    <row r="402" spans="5:12" ht="13.2" x14ac:dyDescent="0.25">
      <c r="E402" s="138"/>
      <c r="F402" s="138"/>
      <c r="G402" s="138"/>
      <c r="H402" s="138"/>
      <c r="I402" s="138"/>
      <c r="J402" s="138"/>
      <c r="K402" s="138"/>
      <c r="L402" s="138"/>
    </row>
    <row r="403" spans="5:12" ht="13.2" x14ac:dyDescent="0.25">
      <c r="E403" s="138"/>
      <c r="F403" s="138"/>
      <c r="G403" s="138"/>
      <c r="H403" s="138"/>
      <c r="I403" s="138"/>
      <c r="J403" s="138"/>
      <c r="K403" s="138"/>
      <c r="L403" s="138"/>
    </row>
    <row r="404" spans="5:12" ht="13.2" x14ac:dyDescent="0.25">
      <c r="E404" s="138"/>
      <c r="F404" s="138"/>
      <c r="G404" s="138"/>
      <c r="H404" s="138"/>
      <c r="I404" s="138"/>
      <c r="J404" s="138"/>
      <c r="K404" s="138"/>
      <c r="L404" s="138"/>
    </row>
    <row r="405" spans="5:12" ht="13.2" x14ac:dyDescent="0.25">
      <c r="E405" s="138"/>
      <c r="F405" s="138"/>
      <c r="G405" s="138"/>
      <c r="H405" s="138"/>
      <c r="I405" s="138"/>
      <c r="J405" s="138"/>
      <c r="K405" s="138"/>
      <c r="L405" s="138"/>
    </row>
    <row r="406" spans="5:12" ht="13.2" x14ac:dyDescent="0.25">
      <c r="E406" s="138"/>
      <c r="F406" s="138"/>
      <c r="G406" s="138"/>
      <c r="H406" s="138"/>
      <c r="I406" s="138"/>
      <c r="J406" s="138"/>
      <c r="K406" s="138"/>
      <c r="L406" s="138"/>
    </row>
    <row r="407" spans="5:12" ht="13.2" x14ac:dyDescent="0.25">
      <c r="E407" s="138"/>
      <c r="F407" s="138"/>
      <c r="G407" s="138"/>
      <c r="H407" s="138"/>
      <c r="I407" s="138"/>
      <c r="J407" s="138"/>
      <c r="K407" s="138"/>
      <c r="L407" s="138"/>
    </row>
    <row r="408" spans="5:12" ht="13.2" x14ac:dyDescent="0.25">
      <c r="E408" s="138"/>
      <c r="F408" s="138"/>
      <c r="G408" s="138"/>
      <c r="H408" s="138"/>
      <c r="I408" s="138"/>
      <c r="J408" s="138"/>
      <c r="K408" s="138"/>
      <c r="L408" s="138"/>
    </row>
    <row r="409" spans="5:12" ht="13.2" x14ac:dyDescent="0.25">
      <c r="E409" s="138"/>
      <c r="F409" s="138"/>
      <c r="G409" s="138"/>
      <c r="H409" s="138"/>
      <c r="I409" s="138"/>
      <c r="J409" s="138"/>
      <c r="K409" s="138"/>
      <c r="L409" s="138"/>
    </row>
    <row r="410" spans="5:12" ht="13.2" x14ac:dyDescent="0.25">
      <c r="E410" s="138"/>
      <c r="F410" s="138"/>
      <c r="G410" s="138"/>
      <c r="H410" s="138"/>
      <c r="I410" s="138"/>
      <c r="J410" s="138"/>
      <c r="K410" s="138"/>
      <c r="L410" s="138"/>
    </row>
    <row r="411" spans="5:12" ht="13.2" x14ac:dyDescent="0.25">
      <c r="E411" s="138"/>
      <c r="F411" s="138"/>
      <c r="G411" s="138"/>
      <c r="H411" s="138"/>
      <c r="I411" s="138"/>
      <c r="J411" s="138"/>
      <c r="K411" s="138"/>
      <c r="L411" s="138"/>
    </row>
    <row r="412" spans="5:12" ht="13.2" x14ac:dyDescent="0.25">
      <c r="E412" s="138"/>
      <c r="F412" s="138"/>
      <c r="G412" s="138"/>
      <c r="H412" s="138"/>
      <c r="I412" s="138"/>
      <c r="J412" s="138"/>
      <c r="K412" s="138"/>
      <c r="L412" s="138"/>
    </row>
    <row r="413" spans="5:12" ht="13.2" x14ac:dyDescent="0.25">
      <c r="E413" s="138"/>
      <c r="F413" s="138"/>
      <c r="G413" s="138"/>
      <c r="H413" s="138"/>
      <c r="I413" s="138"/>
      <c r="J413" s="138"/>
      <c r="K413" s="138"/>
      <c r="L413" s="138"/>
    </row>
    <row r="414" spans="5:12" ht="13.2" x14ac:dyDescent="0.25">
      <c r="E414" s="138"/>
      <c r="F414" s="138"/>
      <c r="G414" s="138"/>
      <c r="H414" s="138"/>
      <c r="I414" s="138"/>
      <c r="J414" s="138"/>
      <c r="K414" s="138"/>
      <c r="L414" s="138"/>
    </row>
    <row r="415" spans="5:12" ht="13.2" x14ac:dyDescent="0.25">
      <c r="E415" s="138"/>
      <c r="F415" s="138"/>
      <c r="G415" s="138"/>
      <c r="H415" s="138"/>
      <c r="I415" s="138"/>
      <c r="J415" s="138"/>
      <c r="K415" s="138"/>
      <c r="L415" s="138"/>
    </row>
    <row r="416" spans="5:12" ht="13.2" x14ac:dyDescent="0.25">
      <c r="E416" s="138"/>
      <c r="F416" s="138"/>
      <c r="G416" s="138"/>
      <c r="H416" s="138"/>
      <c r="I416" s="138"/>
      <c r="J416" s="138"/>
      <c r="K416" s="138"/>
      <c r="L416" s="138"/>
    </row>
    <row r="417" spans="5:12" ht="13.2" x14ac:dyDescent="0.25">
      <c r="E417" s="138"/>
      <c r="F417" s="138"/>
      <c r="G417" s="138"/>
      <c r="H417" s="138"/>
      <c r="I417" s="138"/>
      <c r="J417" s="138"/>
      <c r="K417" s="138"/>
      <c r="L417" s="138"/>
    </row>
    <row r="418" spans="5:12" ht="13.2" x14ac:dyDescent="0.25">
      <c r="E418" s="138"/>
      <c r="F418" s="138"/>
      <c r="G418" s="138"/>
      <c r="H418" s="138"/>
      <c r="I418" s="138"/>
      <c r="J418" s="138"/>
      <c r="K418" s="138"/>
      <c r="L418" s="138"/>
    </row>
    <row r="419" spans="5:12" ht="13.2" x14ac:dyDescent="0.25">
      <c r="E419" s="138"/>
      <c r="F419" s="138"/>
      <c r="G419" s="138"/>
      <c r="H419" s="138"/>
      <c r="I419" s="138"/>
      <c r="J419" s="138"/>
      <c r="K419" s="138"/>
      <c r="L419" s="138"/>
    </row>
    <row r="420" spans="5:12" ht="13.2" x14ac:dyDescent="0.25">
      <c r="E420" s="138"/>
      <c r="F420" s="138"/>
      <c r="G420" s="138"/>
      <c r="H420" s="138"/>
      <c r="I420" s="138"/>
      <c r="J420" s="138"/>
      <c r="K420" s="138"/>
      <c r="L420" s="138"/>
    </row>
    <row r="421" spans="5:12" ht="13.2" x14ac:dyDescent="0.25">
      <c r="E421" s="138"/>
      <c r="F421" s="138"/>
      <c r="G421" s="138"/>
      <c r="H421" s="138"/>
      <c r="I421" s="138"/>
      <c r="J421" s="138"/>
      <c r="K421" s="138"/>
      <c r="L421" s="138"/>
    </row>
    <row r="422" spans="5:12" ht="13.2" x14ac:dyDescent="0.25">
      <c r="E422" s="138"/>
      <c r="F422" s="138"/>
      <c r="G422" s="138"/>
      <c r="H422" s="138"/>
      <c r="I422" s="138"/>
      <c r="J422" s="138"/>
      <c r="K422" s="138"/>
      <c r="L422" s="138"/>
    </row>
    <row r="423" spans="5:12" ht="13.2" x14ac:dyDescent="0.25">
      <c r="E423" s="138"/>
      <c r="F423" s="138"/>
      <c r="G423" s="138"/>
      <c r="H423" s="138"/>
      <c r="I423" s="138"/>
      <c r="J423" s="138"/>
      <c r="K423" s="138"/>
      <c r="L423" s="138"/>
    </row>
    <row r="424" spans="5:12" ht="13.2" x14ac:dyDescent="0.25">
      <c r="E424" s="138"/>
      <c r="F424" s="138"/>
      <c r="G424" s="138"/>
      <c r="H424" s="138"/>
      <c r="I424" s="138"/>
      <c r="J424" s="138"/>
      <c r="K424" s="138"/>
      <c r="L424" s="138"/>
    </row>
    <row r="425" spans="5:12" ht="13.2" x14ac:dyDescent="0.25">
      <c r="E425" s="138"/>
      <c r="F425" s="138"/>
      <c r="G425" s="138"/>
      <c r="H425" s="138"/>
      <c r="I425" s="138"/>
      <c r="J425" s="138"/>
      <c r="K425" s="138"/>
      <c r="L425" s="138"/>
    </row>
    <row r="426" spans="5:12" ht="13.2" x14ac:dyDescent="0.25">
      <c r="E426" s="138"/>
      <c r="F426" s="138"/>
      <c r="G426" s="138"/>
      <c r="H426" s="138"/>
      <c r="I426" s="138"/>
      <c r="J426" s="138"/>
      <c r="K426" s="138"/>
      <c r="L426" s="138"/>
    </row>
    <row r="427" spans="5:12" ht="13.2" x14ac:dyDescent="0.25">
      <c r="E427" s="138"/>
      <c r="F427" s="138"/>
      <c r="G427" s="138"/>
      <c r="H427" s="138"/>
      <c r="I427" s="138"/>
      <c r="J427" s="138"/>
      <c r="K427" s="138"/>
      <c r="L427" s="138"/>
    </row>
    <row r="428" spans="5:12" ht="13.2" x14ac:dyDescent="0.25">
      <c r="E428" s="138"/>
      <c r="F428" s="138"/>
      <c r="G428" s="138"/>
      <c r="H428" s="138"/>
      <c r="I428" s="138"/>
      <c r="J428" s="138"/>
      <c r="K428" s="138"/>
      <c r="L428" s="138"/>
    </row>
    <row r="429" spans="5:12" ht="13.2" x14ac:dyDescent="0.25">
      <c r="E429" s="138"/>
      <c r="F429" s="138"/>
      <c r="G429" s="138"/>
      <c r="H429" s="138"/>
      <c r="I429" s="138"/>
      <c r="J429" s="138"/>
      <c r="K429" s="138"/>
      <c r="L429" s="138"/>
    </row>
    <row r="430" spans="5:12" ht="13.2" x14ac:dyDescent="0.25">
      <c r="E430" s="138"/>
      <c r="F430" s="138"/>
      <c r="G430" s="138"/>
      <c r="H430" s="138"/>
      <c r="I430" s="138"/>
      <c r="J430" s="138"/>
      <c r="K430" s="138"/>
      <c r="L430" s="138"/>
    </row>
    <row r="431" spans="5:12" ht="13.2" x14ac:dyDescent="0.25">
      <c r="E431" s="138"/>
      <c r="F431" s="138"/>
      <c r="G431" s="138"/>
      <c r="H431" s="138"/>
      <c r="I431" s="138"/>
      <c r="J431" s="138"/>
      <c r="K431" s="138"/>
      <c r="L431" s="138"/>
    </row>
    <row r="432" spans="5:12" ht="13.2" x14ac:dyDescent="0.25">
      <c r="E432" s="138"/>
      <c r="F432" s="138"/>
      <c r="G432" s="138"/>
      <c r="H432" s="138"/>
      <c r="I432" s="138"/>
      <c r="J432" s="138"/>
      <c r="K432" s="138"/>
      <c r="L432" s="138"/>
    </row>
    <row r="433" spans="5:12" ht="13.2" x14ac:dyDescent="0.25">
      <c r="E433" s="138"/>
      <c r="F433" s="138"/>
      <c r="G433" s="138"/>
      <c r="H433" s="138"/>
      <c r="I433" s="138"/>
      <c r="J433" s="138"/>
      <c r="K433" s="138"/>
      <c r="L433" s="138"/>
    </row>
    <row r="434" spans="5:12" ht="13.2" x14ac:dyDescent="0.25">
      <c r="E434" s="138"/>
      <c r="F434" s="138"/>
      <c r="G434" s="138"/>
      <c r="H434" s="138"/>
      <c r="I434" s="138"/>
      <c r="J434" s="138"/>
      <c r="K434" s="138"/>
      <c r="L434" s="138"/>
    </row>
    <row r="435" spans="5:12" ht="13.2" x14ac:dyDescent="0.25">
      <c r="E435" s="138"/>
      <c r="F435" s="138"/>
      <c r="G435" s="138"/>
      <c r="H435" s="138"/>
      <c r="I435" s="138"/>
      <c r="J435" s="138"/>
      <c r="K435" s="138"/>
      <c r="L435" s="138"/>
    </row>
    <row r="436" spans="5:12" ht="13.2" x14ac:dyDescent="0.25">
      <c r="E436" s="138"/>
      <c r="F436" s="138"/>
      <c r="G436" s="138"/>
      <c r="H436" s="138"/>
      <c r="I436" s="138"/>
      <c r="J436" s="138"/>
      <c r="K436" s="138"/>
      <c r="L436" s="138"/>
    </row>
    <row r="437" spans="5:12" ht="13.2" x14ac:dyDescent="0.25">
      <c r="E437" s="138"/>
      <c r="F437" s="138"/>
      <c r="G437" s="138"/>
      <c r="H437" s="138"/>
      <c r="I437" s="138"/>
      <c r="J437" s="138"/>
      <c r="K437" s="138"/>
      <c r="L437" s="138"/>
    </row>
    <row r="438" spans="5:12" ht="13.2" x14ac:dyDescent="0.25">
      <c r="E438" s="138"/>
      <c r="F438" s="138"/>
      <c r="G438" s="138"/>
      <c r="H438" s="138"/>
      <c r="I438" s="138"/>
      <c r="J438" s="138"/>
      <c r="K438" s="138"/>
      <c r="L438" s="138"/>
    </row>
    <row r="439" spans="5:12" ht="13.2" x14ac:dyDescent="0.25">
      <c r="E439" s="138"/>
      <c r="F439" s="138"/>
      <c r="G439" s="138"/>
      <c r="H439" s="138"/>
      <c r="I439" s="138"/>
      <c r="J439" s="138"/>
      <c r="K439" s="138"/>
      <c r="L439" s="138"/>
    </row>
    <row r="440" spans="5:12" ht="13.2" x14ac:dyDescent="0.25">
      <c r="E440" s="138"/>
      <c r="F440" s="138"/>
      <c r="G440" s="138"/>
      <c r="H440" s="138"/>
      <c r="I440" s="138"/>
      <c r="J440" s="138"/>
      <c r="K440" s="138"/>
      <c r="L440" s="138"/>
    </row>
    <row r="441" spans="5:12" ht="13.2" x14ac:dyDescent="0.25">
      <c r="E441" s="138"/>
      <c r="F441" s="138"/>
      <c r="G441" s="138"/>
      <c r="H441" s="138"/>
      <c r="I441" s="138"/>
      <c r="J441" s="138"/>
      <c r="K441" s="138"/>
      <c r="L441" s="138"/>
    </row>
    <row r="442" spans="5:12" ht="13.2" x14ac:dyDescent="0.25">
      <c r="E442" s="138"/>
      <c r="F442" s="138"/>
      <c r="G442" s="138"/>
      <c r="H442" s="138"/>
      <c r="I442" s="138"/>
      <c r="J442" s="138"/>
      <c r="K442" s="138"/>
      <c r="L442" s="138"/>
    </row>
    <row r="443" spans="5:12" ht="13.2" x14ac:dyDescent="0.25">
      <c r="E443" s="138"/>
      <c r="F443" s="138"/>
      <c r="G443" s="138"/>
      <c r="H443" s="138"/>
      <c r="I443" s="138"/>
      <c r="J443" s="138"/>
      <c r="K443" s="138"/>
      <c r="L443" s="138"/>
    </row>
    <row r="444" spans="5:12" ht="13.2" x14ac:dyDescent="0.25">
      <c r="E444" s="138"/>
      <c r="F444" s="138"/>
      <c r="G444" s="138"/>
      <c r="H444" s="138"/>
      <c r="I444" s="138"/>
      <c r="J444" s="138"/>
      <c r="K444" s="138"/>
      <c r="L444" s="138"/>
    </row>
    <row r="445" spans="5:12" ht="13.2" x14ac:dyDescent="0.25">
      <c r="E445" s="138"/>
      <c r="F445" s="138"/>
      <c r="G445" s="138"/>
      <c r="H445" s="138"/>
      <c r="I445" s="138"/>
      <c r="J445" s="138"/>
      <c r="K445" s="138"/>
      <c r="L445" s="138"/>
    </row>
    <row r="446" spans="5:12" ht="13.2" x14ac:dyDescent="0.25">
      <c r="E446" s="138"/>
      <c r="F446" s="138"/>
      <c r="G446" s="138"/>
      <c r="H446" s="138"/>
      <c r="I446" s="138"/>
      <c r="J446" s="138"/>
      <c r="K446" s="138"/>
      <c r="L446" s="138"/>
    </row>
    <row r="447" spans="5:12" ht="13.2" x14ac:dyDescent="0.25">
      <c r="E447" s="138"/>
      <c r="F447" s="138"/>
      <c r="G447" s="138"/>
      <c r="H447" s="138"/>
      <c r="I447" s="138"/>
      <c r="J447" s="138"/>
      <c r="K447" s="138"/>
      <c r="L447" s="138"/>
    </row>
    <row r="448" spans="5:12" ht="13.2" x14ac:dyDescent="0.25">
      <c r="E448" s="138"/>
      <c r="F448" s="138"/>
      <c r="G448" s="138"/>
      <c r="H448" s="138"/>
      <c r="I448" s="138"/>
      <c r="J448" s="138"/>
      <c r="K448" s="138"/>
      <c r="L448" s="138"/>
    </row>
    <row r="449" spans="5:12" ht="13.2" x14ac:dyDescent="0.25">
      <c r="E449" s="138"/>
      <c r="F449" s="138"/>
      <c r="G449" s="138"/>
      <c r="H449" s="138"/>
      <c r="I449" s="138"/>
      <c r="J449" s="138"/>
      <c r="K449" s="138"/>
      <c r="L449" s="138"/>
    </row>
    <row r="450" spans="5:12" ht="13.2" x14ac:dyDescent="0.25">
      <c r="E450" s="138"/>
      <c r="F450" s="138"/>
      <c r="G450" s="138"/>
      <c r="H450" s="138"/>
      <c r="I450" s="138"/>
      <c r="J450" s="138"/>
      <c r="K450" s="138"/>
      <c r="L450" s="138"/>
    </row>
    <row r="451" spans="5:12" ht="13.2" x14ac:dyDescent="0.25">
      <c r="E451" s="138"/>
      <c r="F451" s="138"/>
      <c r="G451" s="138"/>
      <c r="H451" s="138"/>
      <c r="I451" s="138"/>
      <c r="J451" s="138"/>
      <c r="K451" s="138"/>
      <c r="L451" s="138"/>
    </row>
    <row r="452" spans="5:12" ht="13.2" x14ac:dyDescent="0.25">
      <c r="E452" s="138"/>
      <c r="F452" s="138"/>
      <c r="G452" s="138"/>
      <c r="H452" s="138"/>
      <c r="I452" s="138"/>
      <c r="J452" s="138"/>
      <c r="K452" s="138"/>
      <c r="L452" s="138"/>
    </row>
    <row r="453" spans="5:12" ht="13.2" x14ac:dyDescent="0.25">
      <c r="E453" s="138"/>
      <c r="F453" s="138"/>
      <c r="G453" s="138"/>
      <c r="H453" s="138"/>
      <c r="I453" s="138"/>
      <c r="J453" s="138"/>
      <c r="K453" s="138"/>
      <c r="L453" s="138"/>
    </row>
    <row r="454" spans="5:12" ht="13.2" x14ac:dyDescent="0.25">
      <c r="E454" s="138"/>
      <c r="F454" s="138"/>
      <c r="G454" s="138"/>
      <c r="H454" s="138"/>
      <c r="I454" s="138"/>
      <c r="J454" s="138"/>
      <c r="K454" s="138"/>
      <c r="L454" s="138"/>
    </row>
    <row r="455" spans="5:12" ht="13.2" x14ac:dyDescent="0.25">
      <c r="E455" s="138"/>
      <c r="F455" s="138"/>
      <c r="G455" s="138"/>
      <c r="H455" s="138"/>
      <c r="I455" s="138"/>
      <c r="J455" s="138"/>
      <c r="K455" s="138"/>
      <c r="L455" s="138"/>
    </row>
    <row r="456" spans="5:12" ht="13.2" x14ac:dyDescent="0.25">
      <c r="E456" s="138"/>
      <c r="F456" s="138"/>
      <c r="G456" s="138"/>
      <c r="H456" s="138"/>
      <c r="I456" s="138"/>
      <c r="J456" s="138"/>
      <c r="K456" s="138"/>
      <c r="L456" s="138"/>
    </row>
    <row r="457" spans="5:12" ht="13.2" x14ac:dyDescent="0.25">
      <c r="E457" s="138"/>
      <c r="F457" s="138"/>
      <c r="G457" s="138"/>
      <c r="H457" s="138"/>
      <c r="I457" s="138"/>
      <c r="J457" s="138"/>
      <c r="K457" s="138"/>
      <c r="L457" s="138"/>
    </row>
    <row r="458" spans="5:12" ht="13.2" x14ac:dyDescent="0.25">
      <c r="E458" s="138"/>
      <c r="F458" s="138"/>
      <c r="G458" s="138"/>
      <c r="H458" s="138"/>
      <c r="I458" s="138"/>
      <c r="J458" s="138"/>
      <c r="K458" s="138"/>
      <c r="L458" s="138"/>
    </row>
    <row r="459" spans="5:12" ht="13.2" x14ac:dyDescent="0.25">
      <c r="E459" s="138"/>
      <c r="F459" s="138"/>
      <c r="G459" s="138"/>
      <c r="H459" s="138"/>
      <c r="I459" s="138"/>
      <c r="J459" s="138"/>
      <c r="K459" s="138"/>
      <c r="L459" s="138"/>
    </row>
    <row r="460" spans="5:12" ht="13.2" x14ac:dyDescent="0.25">
      <c r="E460" s="138"/>
      <c r="F460" s="138"/>
      <c r="G460" s="138"/>
      <c r="H460" s="138"/>
      <c r="I460" s="138"/>
      <c r="J460" s="138"/>
      <c r="K460" s="138"/>
      <c r="L460" s="138"/>
    </row>
    <row r="461" spans="5:12" ht="13.2" x14ac:dyDescent="0.25">
      <c r="E461" s="138"/>
      <c r="F461" s="138"/>
      <c r="G461" s="138"/>
      <c r="H461" s="138"/>
      <c r="I461" s="138"/>
      <c r="J461" s="138"/>
      <c r="K461" s="138"/>
      <c r="L461" s="138"/>
    </row>
    <row r="462" spans="5:12" ht="13.2" x14ac:dyDescent="0.25">
      <c r="E462" s="138"/>
      <c r="F462" s="138"/>
      <c r="G462" s="138"/>
      <c r="H462" s="138"/>
      <c r="I462" s="138"/>
      <c r="J462" s="138"/>
      <c r="K462" s="138"/>
      <c r="L462" s="138"/>
    </row>
    <row r="463" spans="5:12" ht="13.2" x14ac:dyDescent="0.25">
      <c r="E463" s="138"/>
      <c r="F463" s="138"/>
      <c r="G463" s="138"/>
      <c r="H463" s="138"/>
      <c r="I463" s="138"/>
      <c r="J463" s="138"/>
      <c r="K463" s="138"/>
      <c r="L463" s="138"/>
    </row>
    <row r="464" spans="5:12" ht="13.2" x14ac:dyDescent="0.25">
      <c r="E464" s="138"/>
      <c r="F464" s="138"/>
      <c r="G464" s="138"/>
      <c r="H464" s="138"/>
      <c r="I464" s="138"/>
      <c r="J464" s="138"/>
      <c r="K464" s="138"/>
      <c r="L464" s="138"/>
    </row>
    <row r="465" spans="5:12" ht="13.2" x14ac:dyDescent="0.25">
      <c r="E465" s="138"/>
      <c r="F465" s="138"/>
      <c r="G465" s="138"/>
      <c r="H465" s="138"/>
      <c r="I465" s="138"/>
      <c r="J465" s="138"/>
      <c r="K465" s="138"/>
      <c r="L465" s="138"/>
    </row>
    <row r="466" spans="5:12" ht="13.2" x14ac:dyDescent="0.25">
      <c r="E466" s="138"/>
      <c r="F466" s="138"/>
      <c r="G466" s="138"/>
      <c r="H466" s="138"/>
      <c r="I466" s="138"/>
      <c r="J466" s="138"/>
      <c r="K466" s="138"/>
      <c r="L466" s="138"/>
    </row>
    <row r="467" spans="5:12" ht="13.2" x14ac:dyDescent="0.25">
      <c r="E467" s="138"/>
      <c r="F467" s="138"/>
      <c r="G467" s="138"/>
      <c r="H467" s="138"/>
      <c r="I467" s="138"/>
      <c r="J467" s="138"/>
      <c r="K467" s="138"/>
      <c r="L467" s="138"/>
    </row>
    <row r="468" spans="5:12" ht="13.2" x14ac:dyDescent="0.25">
      <c r="E468" s="138"/>
      <c r="F468" s="138"/>
      <c r="G468" s="138"/>
      <c r="H468" s="138"/>
      <c r="I468" s="138"/>
      <c r="J468" s="138"/>
      <c r="K468" s="138"/>
      <c r="L468" s="138"/>
    </row>
    <row r="469" spans="5:12" ht="13.2" x14ac:dyDescent="0.25">
      <c r="E469" s="138"/>
      <c r="F469" s="138"/>
      <c r="G469" s="138"/>
      <c r="H469" s="138"/>
      <c r="I469" s="138"/>
      <c r="J469" s="138"/>
      <c r="K469" s="138"/>
      <c r="L469" s="138"/>
    </row>
    <row r="470" spans="5:12" ht="13.2" x14ac:dyDescent="0.25">
      <c r="E470" s="138"/>
      <c r="F470" s="138"/>
      <c r="G470" s="138"/>
      <c r="H470" s="138"/>
      <c r="I470" s="138"/>
      <c r="J470" s="138"/>
      <c r="K470" s="138"/>
      <c r="L470" s="138"/>
    </row>
    <row r="471" spans="5:12" ht="13.2" x14ac:dyDescent="0.25">
      <c r="E471" s="138"/>
      <c r="F471" s="138"/>
      <c r="G471" s="138"/>
      <c r="H471" s="138"/>
      <c r="I471" s="138"/>
      <c r="J471" s="138"/>
      <c r="K471" s="138"/>
      <c r="L471" s="138"/>
    </row>
    <row r="472" spans="5:12" ht="13.2" x14ac:dyDescent="0.25">
      <c r="E472" s="138"/>
      <c r="F472" s="138"/>
      <c r="G472" s="138"/>
      <c r="H472" s="138"/>
      <c r="I472" s="138"/>
      <c r="J472" s="138"/>
      <c r="K472" s="138"/>
      <c r="L472" s="138"/>
    </row>
    <row r="473" spans="5:12" ht="13.2" x14ac:dyDescent="0.25">
      <c r="E473" s="138"/>
      <c r="F473" s="138"/>
      <c r="G473" s="138"/>
      <c r="H473" s="138"/>
      <c r="I473" s="138"/>
      <c r="J473" s="138"/>
      <c r="K473" s="138"/>
      <c r="L473" s="138"/>
    </row>
    <row r="474" spans="5:12" ht="13.2" x14ac:dyDescent="0.25">
      <c r="E474" s="138"/>
      <c r="F474" s="138"/>
      <c r="G474" s="138"/>
      <c r="H474" s="138"/>
      <c r="I474" s="138"/>
      <c r="J474" s="138"/>
      <c r="K474" s="138"/>
      <c r="L474" s="138"/>
    </row>
    <row r="475" spans="5:12" ht="13.2" x14ac:dyDescent="0.25">
      <c r="E475" s="138"/>
      <c r="F475" s="138"/>
      <c r="G475" s="138"/>
      <c r="H475" s="138"/>
      <c r="I475" s="138"/>
      <c r="J475" s="138"/>
      <c r="K475" s="138"/>
      <c r="L475" s="138"/>
    </row>
    <row r="476" spans="5:12" ht="13.2" x14ac:dyDescent="0.25">
      <c r="E476" s="138"/>
      <c r="F476" s="138"/>
      <c r="G476" s="138"/>
      <c r="H476" s="138"/>
      <c r="I476" s="138"/>
      <c r="J476" s="138"/>
      <c r="K476" s="138"/>
      <c r="L476" s="138"/>
    </row>
    <row r="477" spans="5:12" ht="13.2" x14ac:dyDescent="0.25">
      <c r="E477" s="138"/>
      <c r="F477" s="138"/>
      <c r="G477" s="138"/>
      <c r="H477" s="138"/>
      <c r="I477" s="138"/>
      <c r="J477" s="138"/>
      <c r="K477" s="138"/>
      <c r="L477" s="138"/>
    </row>
    <row r="478" spans="5:12" ht="13.2" x14ac:dyDescent="0.25">
      <c r="E478" s="138"/>
      <c r="F478" s="138"/>
      <c r="G478" s="138"/>
      <c r="H478" s="138"/>
      <c r="I478" s="138"/>
      <c r="J478" s="138"/>
      <c r="K478" s="138"/>
      <c r="L478" s="138"/>
    </row>
    <row r="479" spans="5:12" ht="13.2" x14ac:dyDescent="0.25">
      <c r="E479" s="138"/>
      <c r="F479" s="138"/>
      <c r="G479" s="138"/>
      <c r="H479" s="138"/>
      <c r="I479" s="138"/>
      <c r="J479" s="138"/>
      <c r="K479" s="138"/>
      <c r="L479" s="138"/>
    </row>
    <row r="480" spans="5:12" ht="13.2" x14ac:dyDescent="0.25">
      <c r="E480" s="138"/>
      <c r="F480" s="138"/>
      <c r="G480" s="138"/>
      <c r="H480" s="138"/>
      <c r="I480" s="138"/>
      <c r="J480" s="138"/>
      <c r="K480" s="138"/>
      <c r="L480" s="138"/>
    </row>
    <row r="481" spans="5:12" ht="13.2" x14ac:dyDescent="0.25">
      <c r="E481" s="138"/>
      <c r="F481" s="138"/>
      <c r="G481" s="138"/>
      <c r="H481" s="138"/>
      <c r="I481" s="138"/>
      <c r="J481" s="138"/>
      <c r="K481" s="138"/>
      <c r="L481" s="138"/>
    </row>
    <row r="482" spans="5:12" ht="13.2" x14ac:dyDescent="0.25">
      <c r="E482" s="138"/>
      <c r="F482" s="138"/>
      <c r="G482" s="138"/>
      <c r="H482" s="138"/>
      <c r="I482" s="138"/>
      <c r="J482" s="138"/>
      <c r="K482" s="138"/>
      <c r="L482" s="138"/>
    </row>
    <row r="483" spans="5:12" ht="13.2" x14ac:dyDescent="0.25">
      <c r="E483" s="138"/>
      <c r="F483" s="138"/>
      <c r="G483" s="138"/>
      <c r="H483" s="138"/>
      <c r="I483" s="138"/>
      <c r="J483" s="138"/>
      <c r="K483" s="138"/>
      <c r="L483" s="138"/>
    </row>
    <row r="484" spans="5:12" ht="13.2" x14ac:dyDescent="0.25">
      <c r="E484" s="138"/>
      <c r="F484" s="138"/>
      <c r="G484" s="138"/>
      <c r="H484" s="138"/>
      <c r="I484" s="138"/>
      <c r="J484" s="138"/>
      <c r="K484" s="138"/>
      <c r="L484" s="138"/>
    </row>
    <row r="485" spans="5:12" ht="13.2" x14ac:dyDescent="0.25">
      <c r="E485" s="138"/>
      <c r="F485" s="138"/>
      <c r="G485" s="138"/>
      <c r="H485" s="138"/>
      <c r="I485" s="138"/>
      <c r="J485" s="138"/>
      <c r="K485" s="138"/>
      <c r="L485" s="138"/>
    </row>
    <row r="486" spans="5:12" ht="13.2" x14ac:dyDescent="0.25">
      <c r="E486" s="138"/>
      <c r="F486" s="138"/>
      <c r="G486" s="138"/>
      <c r="H486" s="138"/>
      <c r="I486" s="138"/>
      <c r="J486" s="138"/>
      <c r="K486" s="138"/>
      <c r="L486" s="138"/>
    </row>
    <row r="487" spans="5:12" ht="13.2" x14ac:dyDescent="0.25">
      <c r="E487" s="138"/>
      <c r="F487" s="138"/>
      <c r="G487" s="138"/>
      <c r="H487" s="138"/>
      <c r="I487" s="138"/>
      <c r="J487" s="138"/>
      <c r="K487" s="138"/>
      <c r="L487" s="138"/>
    </row>
    <row r="488" spans="5:12" ht="13.2" x14ac:dyDescent="0.25">
      <c r="E488" s="138"/>
      <c r="F488" s="138"/>
      <c r="G488" s="138"/>
      <c r="H488" s="138"/>
      <c r="I488" s="138"/>
      <c r="J488" s="138"/>
      <c r="K488" s="138"/>
      <c r="L488" s="138"/>
    </row>
    <row r="489" spans="5:12" ht="13.2" x14ac:dyDescent="0.25">
      <c r="E489" s="138"/>
      <c r="F489" s="138"/>
      <c r="G489" s="138"/>
      <c r="H489" s="138"/>
      <c r="I489" s="138"/>
      <c r="J489" s="138"/>
      <c r="K489" s="138"/>
      <c r="L489" s="138"/>
    </row>
    <row r="490" spans="5:12" ht="13.2" x14ac:dyDescent="0.25">
      <c r="E490" s="138"/>
      <c r="F490" s="138"/>
      <c r="G490" s="138"/>
      <c r="H490" s="138"/>
      <c r="I490" s="138"/>
      <c r="J490" s="138"/>
      <c r="K490" s="138"/>
      <c r="L490" s="138"/>
    </row>
    <row r="491" spans="5:12" ht="13.2" x14ac:dyDescent="0.25">
      <c r="E491" s="138"/>
      <c r="F491" s="138"/>
      <c r="G491" s="138"/>
      <c r="H491" s="138"/>
      <c r="I491" s="138"/>
      <c r="J491" s="138"/>
      <c r="K491" s="138"/>
      <c r="L491" s="138"/>
    </row>
    <row r="492" spans="5:12" ht="13.2" x14ac:dyDescent="0.25">
      <c r="E492" s="138"/>
      <c r="F492" s="138"/>
      <c r="G492" s="138"/>
      <c r="H492" s="138"/>
      <c r="I492" s="138"/>
      <c r="J492" s="138"/>
      <c r="K492" s="138"/>
      <c r="L492" s="138"/>
    </row>
    <row r="493" spans="5:12" ht="13.2" x14ac:dyDescent="0.25">
      <c r="E493" s="138"/>
      <c r="F493" s="138"/>
      <c r="G493" s="138"/>
      <c r="H493" s="138"/>
      <c r="I493" s="138"/>
      <c r="J493" s="138"/>
      <c r="K493" s="138"/>
      <c r="L493" s="138"/>
    </row>
    <row r="494" spans="5:12" ht="13.2" x14ac:dyDescent="0.25">
      <c r="E494" s="138"/>
      <c r="F494" s="138"/>
      <c r="G494" s="138"/>
      <c r="H494" s="138"/>
      <c r="I494" s="138"/>
      <c r="J494" s="138"/>
      <c r="K494" s="138"/>
      <c r="L494" s="138"/>
    </row>
    <row r="495" spans="5:12" ht="13.2" x14ac:dyDescent="0.25">
      <c r="E495" s="138"/>
      <c r="F495" s="138"/>
      <c r="G495" s="138"/>
      <c r="H495" s="138"/>
      <c r="I495" s="138"/>
      <c r="J495" s="138"/>
      <c r="K495" s="138"/>
      <c r="L495" s="138"/>
    </row>
    <row r="496" spans="5:12" ht="13.2" x14ac:dyDescent="0.25">
      <c r="E496" s="138"/>
      <c r="F496" s="138"/>
      <c r="G496" s="138"/>
      <c r="H496" s="138"/>
      <c r="I496" s="138"/>
      <c r="J496" s="138"/>
      <c r="K496" s="138"/>
      <c r="L496" s="138"/>
    </row>
    <row r="497" spans="5:12" ht="13.2" x14ac:dyDescent="0.25">
      <c r="E497" s="138"/>
      <c r="F497" s="138"/>
      <c r="G497" s="138"/>
      <c r="H497" s="138"/>
      <c r="I497" s="138"/>
      <c r="J497" s="138"/>
      <c r="K497" s="138"/>
      <c r="L497" s="138"/>
    </row>
    <row r="498" spans="5:12" ht="13.2" x14ac:dyDescent="0.25">
      <c r="E498" s="138"/>
      <c r="F498" s="138"/>
      <c r="G498" s="138"/>
      <c r="H498" s="138"/>
      <c r="I498" s="138"/>
      <c r="J498" s="138"/>
      <c r="K498" s="138"/>
      <c r="L498" s="138"/>
    </row>
    <row r="499" spans="5:12" ht="13.2" x14ac:dyDescent="0.25">
      <c r="E499" s="138"/>
      <c r="F499" s="138"/>
      <c r="G499" s="138"/>
      <c r="H499" s="138"/>
      <c r="I499" s="138"/>
      <c r="J499" s="138"/>
      <c r="K499" s="138"/>
      <c r="L499" s="138"/>
    </row>
    <row r="500" spans="5:12" ht="13.2" x14ac:dyDescent="0.25">
      <c r="E500" s="138"/>
      <c r="F500" s="138"/>
      <c r="G500" s="138"/>
      <c r="H500" s="138"/>
      <c r="I500" s="138"/>
      <c r="J500" s="138"/>
      <c r="K500" s="138"/>
      <c r="L500" s="138"/>
    </row>
    <row r="501" spans="5:12" ht="13.2" x14ac:dyDescent="0.25">
      <c r="E501" s="138"/>
      <c r="F501" s="138"/>
      <c r="G501" s="138"/>
      <c r="H501" s="138"/>
      <c r="I501" s="138"/>
      <c r="J501" s="138"/>
      <c r="K501" s="138"/>
      <c r="L501" s="138"/>
    </row>
    <row r="502" spans="5:12" ht="13.2" x14ac:dyDescent="0.25">
      <c r="E502" s="138"/>
      <c r="F502" s="138"/>
      <c r="G502" s="138"/>
      <c r="H502" s="138"/>
      <c r="I502" s="138"/>
      <c r="J502" s="138"/>
      <c r="K502" s="138"/>
      <c r="L502" s="138"/>
    </row>
    <row r="503" spans="5:12" ht="13.2" x14ac:dyDescent="0.25">
      <c r="E503" s="138"/>
      <c r="F503" s="138"/>
      <c r="G503" s="138"/>
      <c r="H503" s="138"/>
      <c r="I503" s="138"/>
      <c r="J503" s="138"/>
      <c r="K503" s="138"/>
      <c r="L503" s="138"/>
    </row>
    <row r="504" spans="5:12" ht="13.2" x14ac:dyDescent="0.25">
      <c r="E504" s="138"/>
      <c r="F504" s="138"/>
      <c r="G504" s="138"/>
      <c r="H504" s="138"/>
      <c r="I504" s="138"/>
      <c r="J504" s="138"/>
      <c r="K504" s="138"/>
      <c r="L504" s="138"/>
    </row>
    <row r="505" spans="5:12" ht="13.2" x14ac:dyDescent="0.25">
      <c r="E505" s="138"/>
      <c r="F505" s="138"/>
      <c r="G505" s="138"/>
      <c r="H505" s="138"/>
      <c r="I505" s="138"/>
      <c r="J505" s="138"/>
      <c r="K505" s="138"/>
      <c r="L505" s="138"/>
    </row>
    <row r="506" spans="5:12" ht="13.2" x14ac:dyDescent="0.25">
      <c r="E506" s="138"/>
      <c r="F506" s="138"/>
      <c r="G506" s="138"/>
      <c r="H506" s="138"/>
      <c r="I506" s="138"/>
      <c r="J506" s="138"/>
      <c r="K506" s="138"/>
      <c r="L506" s="138"/>
    </row>
    <row r="507" spans="5:12" ht="13.2" x14ac:dyDescent="0.25">
      <c r="E507" s="138"/>
      <c r="F507" s="138"/>
      <c r="G507" s="138"/>
      <c r="H507" s="138"/>
      <c r="I507" s="138"/>
      <c r="J507" s="138"/>
      <c r="K507" s="138"/>
      <c r="L507" s="138"/>
    </row>
    <row r="508" spans="5:12" ht="13.2" x14ac:dyDescent="0.25">
      <c r="E508" s="138"/>
      <c r="F508" s="138"/>
      <c r="G508" s="138"/>
      <c r="H508" s="138"/>
      <c r="I508" s="138"/>
      <c r="J508" s="138"/>
      <c r="K508" s="138"/>
      <c r="L508" s="138"/>
    </row>
    <row r="509" spans="5:12" ht="13.2" x14ac:dyDescent="0.25">
      <c r="E509" s="138"/>
      <c r="F509" s="138"/>
      <c r="G509" s="138"/>
      <c r="H509" s="138"/>
      <c r="I509" s="138"/>
      <c r="J509" s="138"/>
      <c r="K509" s="138"/>
      <c r="L509" s="138"/>
    </row>
    <row r="510" spans="5:12" ht="13.2" x14ac:dyDescent="0.25">
      <c r="E510" s="138"/>
      <c r="F510" s="138"/>
      <c r="G510" s="138"/>
      <c r="H510" s="138"/>
      <c r="I510" s="138"/>
      <c r="J510" s="138"/>
      <c r="K510" s="138"/>
      <c r="L510" s="138"/>
    </row>
    <row r="511" spans="5:12" ht="13.2" x14ac:dyDescent="0.25">
      <c r="E511" s="138"/>
      <c r="F511" s="138"/>
      <c r="G511" s="138"/>
      <c r="H511" s="138"/>
      <c r="I511" s="138"/>
      <c r="J511" s="138"/>
      <c r="K511" s="138"/>
      <c r="L511" s="138"/>
    </row>
    <row r="512" spans="5:12" ht="13.2" x14ac:dyDescent="0.25">
      <c r="E512" s="138"/>
      <c r="F512" s="138"/>
      <c r="G512" s="138"/>
      <c r="H512" s="138"/>
      <c r="I512" s="138"/>
      <c r="J512" s="138"/>
      <c r="K512" s="138"/>
      <c r="L512" s="138"/>
    </row>
    <row r="513" spans="5:12" ht="13.2" x14ac:dyDescent="0.25">
      <c r="E513" s="138"/>
      <c r="F513" s="138"/>
      <c r="G513" s="138"/>
      <c r="H513" s="138"/>
      <c r="I513" s="138"/>
      <c r="J513" s="138"/>
      <c r="K513" s="138"/>
      <c r="L513" s="138"/>
    </row>
    <row r="514" spans="5:12" ht="13.2" x14ac:dyDescent="0.25">
      <c r="E514" s="138"/>
      <c r="F514" s="138"/>
      <c r="G514" s="138"/>
      <c r="H514" s="138"/>
      <c r="I514" s="138"/>
      <c r="J514" s="138"/>
      <c r="K514" s="138"/>
      <c r="L514" s="138"/>
    </row>
    <row r="515" spans="5:12" ht="13.2" x14ac:dyDescent="0.25">
      <c r="E515" s="138"/>
      <c r="F515" s="138"/>
      <c r="G515" s="138"/>
      <c r="H515" s="138"/>
      <c r="I515" s="138"/>
      <c r="J515" s="138"/>
      <c r="K515" s="138"/>
      <c r="L515" s="138"/>
    </row>
    <row r="516" spans="5:12" ht="13.2" x14ac:dyDescent="0.25">
      <c r="E516" s="138"/>
      <c r="F516" s="138"/>
      <c r="G516" s="138"/>
      <c r="H516" s="138"/>
      <c r="I516" s="138"/>
      <c r="J516" s="138"/>
      <c r="K516" s="138"/>
      <c r="L516" s="138"/>
    </row>
    <row r="517" spans="5:12" ht="13.2" x14ac:dyDescent="0.25">
      <c r="E517" s="138"/>
      <c r="F517" s="138"/>
      <c r="G517" s="138"/>
      <c r="H517" s="138"/>
      <c r="I517" s="138"/>
      <c r="J517" s="138"/>
      <c r="K517" s="138"/>
      <c r="L517" s="138"/>
    </row>
    <row r="518" spans="5:12" ht="13.2" x14ac:dyDescent="0.25">
      <c r="E518" s="138"/>
      <c r="F518" s="138"/>
      <c r="G518" s="138"/>
      <c r="H518" s="138"/>
      <c r="I518" s="138"/>
      <c r="J518" s="138"/>
      <c r="K518" s="138"/>
      <c r="L518" s="138"/>
    </row>
    <row r="519" spans="5:12" ht="13.2" x14ac:dyDescent="0.25">
      <c r="E519" s="138"/>
      <c r="F519" s="138"/>
      <c r="G519" s="138"/>
      <c r="H519" s="138"/>
      <c r="I519" s="138"/>
      <c r="J519" s="138"/>
      <c r="K519" s="138"/>
      <c r="L519" s="138"/>
    </row>
    <row r="520" spans="5:12" ht="13.2" x14ac:dyDescent="0.25">
      <c r="E520" s="138"/>
      <c r="F520" s="138"/>
      <c r="G520" s="138"/>
      <c r="H520" s="138"/>
      <c r="I520" s="138"/>
      <c r="J520" s="138"/>
      <c r="K520" s="138"/>
      <c r="L520" s="138"/>
    </row>
    <row r="521" spans="5:12" ht="13.2" x14ac:dyDescent="0.25">
      <c r="E521" s="138"/>
      <c r="F521" s="138"/>
      <c r="G521" s="138"/>
      <c r="H521" s="138"/>
      <c r="I521" s="138"/>
      <c r="J521" s="138"/>
      <c r="K521" s="138"/>
      <c r="L521" s="138"/>
    </row>
    <row r="522" spans="5:12" ht="13.2" x14ac:dyDescent="0.25">
      <c r="E522" s="138"/>
      <c r="F522" s="138"/>
      <c r="G522" s="138"/>
      <c r="H522" s="138"/>
      <c r="I522" s="138"/>
      <c r="J522" s="138"/>
      <c r="K522" s="138"/>
      <c r="L522" s="138"/>
    </row>
    <row r="523" spans="5:12" ht="13.2" x14ac:dyDescent="0.25">
      <c r="E523" s="138"/>
      <c r="F523" s="138"/>
      <c r="G523" s="138"/>
      <c r="H523" s="138"/>
      <c r="I523" s="138"/>
      <c r="J523" s="138"/>
      <c r="K523" s="138"/>
      <c r="L523" s="138"/>
    </row>
    <row r="524" spans="5:12" ht="13.2" x14ac:dyDescent="0.25">
      <c r="E524" s="138"/>
      <c r="F524" s="138"/>
      <c r="G524" s="138"/>
      <c r="H524" s="138"/>
      <c r="I524" s="138"/>
      <c r="J524" s="138"/>
      <c r="K524" s="138"/>
      <c r="L524" s="138"/>
    </row>
    <row r="525" spans="5:12" ht="13.2" x14ac:dyDescent="0.25">
      <c r="E525" s="138"/>
      <c r="F525" s="138"/>
      <c r="G525" s="138"/>
      <c r="H525" s="138"/>
      <c r="I525" s="138"/>
      <c r="J525" s="138"/>
      <c r="K525" s="138"/>
      <c r="L525" s="138"/>
    </row>
    <row r="526" spans="5:12" ht="13.2" x14ac:dyDescent="0.25">
      <c r="E526" s="138"/>
      <c r="F526" s="138"/>
      <c r="G526" s="138"/>
      <c r="H526" s="138"/>
      <c r="I526" s="138"/>
      <c r="J526" s="138"/>
      <c r="K526" s="138"/>
      <c r="L526" s="138"/>
    </row>
    <row r="527" spans="5:12" ht="13.2" x14ac:dyDescent="0.25">
      <c r="E527" s="138"/>
      <c r="F527" s="138"/>
      <c r="G527" s="138"/>
      <c r="H527" s="138"/>
      <c r="I527" s="138"/>
      <c r="J527" s="138"/>
      <c r="K527" s="138"/>
      <c r="L527" s="138"/>
    </row>
    <row r="528" spans="5:12" ht="13.2" x14ac:dyDescent="0.25">
      <c r="E528" s="138"/>
      <c r="F528" s="138"/>
      <c r="G528" s="138"/>
      <c r="H528" s="138"/>
      <c r="I528" s="138"/>
      <c r="J528" s="138"/>
      <c r="K528" s="138"/>
      <c r="L528" s="138"/>
    </row>
    <row r="529" spans="5:12" ht="13.2" x14ac:dyDescent="0.25">
      <c r="E529" s="138"/>
      <c r="F529" s="138"/>
      <c r="G529" s="138"/>
      <c r="H529" s="138"/>
      <c r="I529" s="138"/>
      <c r="J529" s="138"/>
      <c r="K529" s="138"/>
      <c r="L529" s="138"/>
    </row>
    <row r="530" spans="5:12" ht="13.2" x14ac:dyDescent="0.25">
      <c r="E530" s="138"/>
      <c r="F530" s="138"/>
      <c r="G530" s="138"/>
      <c r="H530" s="138"/>
      <c r="I530" s="138"/>
      <c r="J530" s="138"/>
      <c r="K530" s="138"/>
      <c r="L530" s="138"/>
    </row>
    <row r="531" spans="5:12" ht="13.2" x14ac:dyDescent="0.25">
      <c r="E531" s="138"/>
      <c r="F531" s="138"/>
      <c r="G531" s="138"/>
      <c r="H531" s="138"/>
      <c r="I531" s="138"/>
      <c r="J531" s="138"/>
      <c r="K531" s="138"/>
      <c r="L531" s="138"/>
    </row>
    <row r="532" spans="5:12" ht="13.2" x14ac:dyDescent="0.25">
      <c r="E532" s="138"/>
      <c r="F532" s="138"/>
      <c r="G532" s="138"/>
      <c r="H532" s="138"/>
      <c r="I532" s="138"/>
      <c r="J532" s="138"/>
      <c r="K532" s="138"/>
      <c r="L532" s="138"/>
    </row>
    <row r="533" spans="5:12" ht="13.2" x14ac:dyDescent="0.25">
      <c r="E533" s="138"/>
      <c r="F533" s="138"/>
      <c r="G533" s="138"/>
      <c r="H533" s="138"/>
      <c r="I533" s="138"/>
      <c r="J533" s="138"/>
      <c r="K533" s="138"/>
      <c r="L533" s="138"/>
    </row>
    <row r="534" spans="5:12" ht="13.2" x14ac:dyDescent="0.25">
      <c r="E534" s="138"/>
      <c r="F534" s="138"/>
      <c r="G534" s="138"/>
      <c r="H534" s="138"/>
      <c r="I534" s="138"/>
      <c r="J534" s="138"/>
      <c r="K534" s="138"/>
      <c r="L534" s="138"/>
    </row>
    <row r="535" spans="5:12" ht="13.2" x14ac:dyDescent="0.25">
      <c r="E535" s="138"/>
      <c r="F535" s="138"/>
      <c r="G535" s="138"/>
      <c r="H535" s="138"/>
      <c r="I535" s="138"/>
      <c r="J535" s="138"/>
      <c r="K535" s="138"/>
      <c r="L535" s="138"/>
    </row>
    <row r="536" spans="5:12" ht="13.2" x14ac:dyDescent="0.25">
      <c r="E536" s="138"/>
      <c r="F536" s="138"/>
      <c r="G536" s="138"/>
      <c r="H536" s="138"/>
      <c r="I536" s="138"/>
      <c r="J536" s="138"/>
      <c r="K536" s="138"/>
      <c r="L536" s="138"/>
    </row>
    <row r="537" spans="5:12" ht="13.2" x14ac:dyDescent="0.25">
      <c r="E537" s="138"/>
      <c r="F537" s="138"/>
      <c r="G537" s="138"/>
      <c r="H537" s="138"/>
      <c r="I537" s="138"/>
      <c r="J537" s="138"/>
      <c r="K537" s="138"/>
      <c r="L537" s="138"/>
    </row>
    <row r="538" spans="5:12" ht="13.2" x14ac:dyDescent="0.25">
      <c r="E538" s="138"/>
      <c r="F538" s="138"/>
      <c r="G538" s="138"/>
      <c r="H538" s="138"/>
      <c r="I538" s="138"/>
      <c r="J538" s="138"/>
      <c r="K538" s="138"/>
      <c r="L538" s="138"/>
    </row>
    <row r="539" spans="5:12" ht="13.2" x14ac:dyDescent="0.25">
      <c r="E539" s="138"/>
      <c r="F539" s="138"/>
      <c r="G539" s="138"/>
      <c r="H539" s="138"/>
      <c r="I539" s="138"/>
      <c r="J539" s="138"/>
      <c r="K539" s="138"/>
      <c r="L539" s="138"/>
    </row>
    <row r="540" spans="5:12" ht="13.2" x14ac:dyDescent="0.25">
      <c r="E540" s="138"/>
      <c r="F540" s="138"/>
      <c r="G540" s="138"/>
      <c r="H540" s="138"/>
      <c r="I540" s="138"/>
      <c r="J540" s="138"/>
      <c r="K540" s="138"/>
      <c r="L540" s="138"/>
    </row>
    <row r="541" spans="5:12" ht="13.2" x14ac:dyDescent="0.25">
      <c r="E541" s="138"/>
      <c r="F541" s="138"/>
      <c r="G541" s="138"/>
      <c r="H541" s="138"/>
      <c r="I541" s="138"/>
      <c r="J541" s="138"/>
      <c r="K541" s="138"/>
      <c r="L541" s="138"/>
    </row>
    <row r="542" spans="5:12" ht="13.2" x14ac:dyDescent="0.25">
      <c r="E542" s="138"/>
      <c r="F542" s="138"/>
      <c r="G542" s="138"/>
      <c r="H542" s="138"/>
      <c r="I542" s="138"/>
      <c r="J542" s="138"/>
      <c r="K542" s="138"/>
      <c r="L542" s="138"/>
    </row>
    <row r="543" spans="5:12" ht="13.2" x14ac:dyDescent="0.25">
      <c r="E543" s="138"/>
      <c r="F543" s="138"/>
      <c r="G543" s="138"/>
      <c r="H543" s="138"/>
      <c r="I543" s="138"/>
      <c r="J543" s="138"/>
      <c r="K543" s="138"/>
      <c r="L543" s="138"/>
    </row>
    <row r="544" spans="5:12" ht="13.2" x14ac:dyDescent="0.25">
      <c r="E544" s="138"/>
      <c r="F544" s="138"/>
      <c r="G544" s="138"/>
      <c r="H544" s="138"/>
      <c r="I544" s="138"/>
      <c r="J544" s="138"/>
      <c r="K544" s="138"/>
      <c r="L544" s="138"/>
    </row>
    <row r="545" spans="5:12" ht="13.2" x14ac:dyDescent="0.25">
      <c r="E545" s="138"/>
      <c r="F545" s="138"/>
      <c r="G545" s="138"/>
      <c r="H545" s="138"/>
      <c r="I545" s="138"/>
      <c r="J545" s="138"/>
      <c r="K545" s="138"/>
      <c r="L545" s="138"/>
    </row>
    <row r="546" spans="5:12" ht="13.2" x14ac:dyDescent="0.25">
      <c r="E546" s="138"/>
      <c r="F546" s="138"/>
      <c r="G546" s="138"/>
      <c r="H546" s="138"/>
      <c r="I546" s="138"/>
      <c r="J546" s="138"/>
      <c r="K546" s="138"/>
      <c r="L546" s="138"/>
    </row>
    <row r="547" spans="5:12" ht="13.2" x14ac:dyDescent="0.25">
      <c r="E547" s="138"/>
      <c r="F547" s="138"/>
      <c r="G547" s="138"/>
      <c r="H547" s="138"/>
      <c r="I547" s="138"/>
      <c r="J547" s="138"/>
      <c r="K547" s="138"/>
      <c r="L547" s="138"/>
    </row>
    <row r="548" spans="5:12" ht="13.2" x14ac:dyDescent="0.25">
      <c r="E548" s="138"/>
      <c r="F548" s="138"/>
      <c r="G548" s="138"/>
      <c r="H548" s="138"/>
      <c r="I548" s="138"/>
      <c r="J548" s="138"/>
      <c r="K548" s="138"/>
      <c r="L548" s="138"/>
    </row>
    <row r="549" spans="5:12" ht="13.2" x14ac:dyDescent="0.25">
      <c r="E549" s="138"/>
      <c r="F549" s="138"/>
      <c r="G549" s="138"/>
      <c r="H549" s="138"/>
      <c r="I549" s="138"/>
      <c r="J549" s="138"/>
      <c r="K549" s="138"/>
      <c r="L549" s="138"/>
    </row>
    <row r="550" spans="5:12" ht="13.2" x14ac:dyDescent="0.25">
      <c r="E550" s="138"/>
      <c r="F550" s="138"/>
      <c r="G550" s="138"/>
      <c r="H550" s="138"/>
      <c r="I550" s="138"/>
      <c r="J550" s="138"/>
      <c r="K550" s="138"/>
      <c r="L550" s="138"/>
    </row>
    <row r="551" spans="5:12" ht="13.2" x14ac:dyDescent="0.25">
      <c r="E551" s="138"/>
      <c r="F551" s="138"/>
      <c r="G551" s="138"/>
      <c r="H551" s="138"/>
      <c r="I551" s="138"/>
      <c r="J551" s="138"/>
      <c r="K551" s="138"/>
      <c r="L551" s="138"/>
    </row>
    <row r="552" spans="5:12" ht="13.2" x14ac:dyDescent="0.25">
      <c r="E552" s="138"/>
      <c r="F552" s="138"/>
      <c r="G552" s="138"/>
      <c r="H552" s="138"/>
      <c r="I552" s="138"/>
      <c r="J552" s="138"/>
      <c r="K552" s="138"/>
      <c r="L552" s="138"/>
    </row>
    <row r="553" spans="5:12" ht="13.2" x14ac:dyDescent="0.25">
      <c r="E553" s="138"/>
      <c r="F553" s="138"/>
      <c r="G553" s="138"/>
      <c r="H553" s="138"/>
      <c r="I553" s="138"/>
      <c r="J553" s="138"/>
      <c r="K553" s="138"/>
      <c r="L553" s="138"/>
    </row>
    <row r="554" spans="5:12" ht="13.2" x14ac:dyDescent="0.25">
      <c r="E554" s="138"/>
      <c r="F554" s="138"/>
      <c r="G554" s="138"/>
      <c r="H554" s="138"/>
      <c r="I554" s="138"/>
      <c r="J554" s="138"/>
      <c r="K554" s="138"/>
      <c r="L554" s="138"/>
    </row>
    <row r="555" spans="5:12" ht="13.2" x14ac:dyDescent="0.25">
      <c r="E555" s="138"/>
      <c r="F555" s="138"/>
      <c r="G555" s="138"/>
      <c r="H555" s="138"/>
      <c r="I555" s="138"/>
      <c r="J555" s="138"/>
      <c r="K555" s="138"/>
      <c r="L555" s="138"/>
    </row>
    <row r="556" spans="5:12" ht="13.2" x14ac:dyDescent="0.25">
      <c r="E556" s="138"/>
      <c r="F556" s="138"/>
      <c r="G556" s="138"/>
      <c r="H556" s="138"/>
      <c r="I556" s="138"/>
      <c r="J556" s="138"/>
      <c r="K556" s="138"/>
      <c r="L556" s="138"/>
    </row>
    <row r="557" spans="5:12" ht="13.2" x14ac:dyDescent="0.25">
      <c r="E557" s="138"/>
      <c r="F557" s="138"/>
      <c r="G557" s="138"/>
      <c r="H557" s="138"/>
      <c r="I557" s="138"/>
      <c r="J557" s="138"/>
      <c r="K557" s="138"/>
      <c r="L557" s="138"/>
    </row>
    <row r="558" spans="5:12" ht="13.2" x14ac:dyDescent="0.25">
      <c r="E558" s="138"/>
      <c r="F558" s="138"/>
      <c r="G558" s="138"/>
      <c r="H558" s="138"/>
      <c r="I558" s="138"/>
      <c r="J558" s="138"/>
      <c r="K558" s="138"/>
      <c r="L558" s="138"/>
    </row>
    <row r="559" spans="5:12" ht="13.2" x14ac:dyDescent="0.25">
      <c r="E559" s="138"/>
      <c r="F559" s="138"/>
      <c r="G559" s="138"/>
      <c r="H559" s="138"/>
      <c r="I559" s="138"/>
      <c r="J559" s="138"/>
      <c r="K559" s="138"/>
      <c r="L559" s="138"/>
    </row>
    <row r="560" spans="5:12" ht="13.2" x14ac:dyDescent="0.25">
      <c r="E560" s="138"/>
      <c r="F560" s="138"/>
      <c r="G560" s="138"/>
      <c r="H560" s="138"/>
      <c r="I560" s="138"/>
      <c r="J560" s="138"/>
      <c r="K560" s="138"/>
      <c r="L560" s="138"/>
    </row>
    <row r="561" spans="5:12" ht="13.2" x14ac:dyDescent="0.25">
      <c r="E561" s="138"/>
      <c r="F561" s="138"/>
      <c r="G561" s="138"/>
      <c r="H561" s="138"/>
      <c r="I561" s="138"/>
      <c r="J561" s="138"/>
      <c r="K561" s="138"/>
      <c r="L561" s="138"/>
    </row>
    <row r="562" spans="5:12" ht="13.2" x14ac:dyDescent="0.25">
      <c r="E562" s="138"/>
      <c r="F562" s="138"/>
      <c r="G562" s="138"/>
      <c r="H562" s="138"/>
      <c r="I562" s="138"/>
      <c r="J562" s="138"/>
      <c r="K562" s="138"/>
      <c r="L562" s="138"/>
    </row>
    <row r="563" spans="5:12" ht="13.2" x14ac:dyDescent="0.25">
      <c r="E563" s="138"/>
      <c r="F563" s="138"/>
      <c r="G563" s="138"/>
      <c r="H563" s="138"/>
      <c r="I563" s="138"/>
      <c r="J563" s="138"/>
      <c r="K563" s="138"/>
      <c r="L563" s="138"/>
    </row>
    <row r="564" spans="5:12" ht="13.2" x14ac:dyDescent="0.25">
      <c r="E564" s="138"/>
      <c r="F564" s="138"/>
      <c r="G564" s="138"/>
      <c r="H564" s="138"/>
      <c r="I564" s="138"/>
      <c r="J564" s="138"/>
      <c r="K564" s="138"/>
      <c r="L564" s="138"/>
    </row>
    <row r="565" spans="5:12" ht="13.2" x14ac:dyDescent="0.25">
      <c r="E565" s="138"/>
      <c r="F565" s="138"/>
      <c r="G565" s="138"/>
      <c r="H565" s="138"/>
      <c r="I565" s="138"/>
      <c r="J565" s="138"/>
      <c r="K565" s="138"/>
      <c r="L565" s="138"/>
    </row>
    <row r="566" spans="5:12" ht="13.2" x14ac:dyDescent="0.25">
      <c r="E566" s="138"/>
      <c r="F566" s="138"/>
      <c r="G566" s="138"/>
      <c r="H566" s="138"/>
      <c r="I566" s="138"/>
      <c r="J566" s="138"/>
      <c r="K566" s="138"/>
      <c r="L566" s="138"/>
    </row>
    <row r="567" spans="5:12" ht="13.2" x14ac:dyDescent="0.25">
      <c r="E567" s="138"/>
      <c r="F567" s="138"/>
      <c r="G567" s="138"/>
      <c r="H567" s="138"/>
      <c r="I567" s="138"/>
      <c r="J567" s="138"/>
      <c r="K567" s="138"/>
      <c r="L567" s="138"/>
    </row>
    <row r="568" spans="5:12" ht="13.2" x14ac:dyDescent="0.25">
      <c r="E568" s="138"/>
      <c r="F568" s="138"/>
      <c r="G568" s="138"/>
      <c r="H568" s="138"/>
      <c r="I568" s="138"/>
      <c r="J568" s="138"/>
      <c r="K568" s="138"/>
      <c r="L568" s="138"/>
    </row>
    <row r="569" spans="5:12" ht="13.2" x14ac:dyDescent="0.25">
      <c r="E569" s="138"/>
      <c r="F569" s="138"/>
      <c r="G569" s="138"/>
      <c r="H569" s="138"/>
      <c r="I569" s="138"/>
      <c r="J569" s="138"/>
      <c r="K569" s="138"/>
      <c r="L569" s="138"/>
    </row>
    <row r="570" spans="5:12" ht="13.2" x14ac:dyDescent="0.25">
      <c r="E570" s="138"/>
      <c r="F570" s="138"/>
      <c r="G570" s="138"/>
      <c r="H570" s="138"/>
      <c r="I570" s="138"/>
      <c r="J570" s="138"/>
      <c r="K570" s="138"/>
      <c r="L570" s="138"/>
    </row>
    <row r="571" spans="5:12" ht="13.2" x14ac:dyDescent="0.25">
      <c r="E571" s="138"/>
      <c r="F571" s="138"/>
      <c r="G571" s="138"/>
      <c r="H571" s="138"/>
      <c r="I571" s="138"/>
      <c r="J571" s="138"/>
      <c r="K571" s="138"/>
      <c r="L571" s="138"/>
    </row>
    <row r="572" spans="5:12" ht="13.2" x14ac:dyDescent="0.25">
      <c r="E572" s="138"/>
      <c r="F572" s="138"/>
      <c r="G572" s="138"/>
      <c r="H572" s="138"/>
      <c r="I572" s="138"/>
      <c r="J572" s="138"/>
      <c r="K572" s="138"/>
      <c r="L572" s="138"/>
    </row>
    <row r="573" spans="5:12" ht="13.2" x14ac:dyDescent="0.25">
      <c r="E573" s="138"/>
      <c r="F573" s="138"/>
      <c r="G573" s="138"/>
      <c r="H573" s="138"/>
      <c r="I573" s="138"/>
      <c r="J573" s="138"/>
      <c r="K573" s="138"/>
      <c r="L573" s="138"/>
    </row>
    <row r="574" spans="5:12" ht="13.2" x14ac:dyDescent="0.25">
      <c r="E574" s="138"/>
      <c r="F574" s="138"/>
      <c r="G574" s="138"/>
      <c r="H574" s="138"/>
      <c r="I574" s="138"/>
      <c r="J574" s="138"/>
      <c r="K574" s="138"/>
      <c r="L574" s="138"/>
    </row>
    <row r="575" spans="5:12" ht="13.2" x14ac:dyDescent="0.25">
      <c r="E575" s="138"/>
      <c r="F575" s="138"/>
      <c r="G575" s="138"/>
      <c r="H575" s="138"/>
      <c r="I575" s="138"/>
      <c r="J575" s="138"/>
      <c r="K575" s="138"/>
      <c r="L575" s="138"/>
    </row>
    <row r="576" spans="5:12" ht="13.2" x14ac:dyDescent="0.25">
      <c r="E576" s="138"/>
      <c r="F576" s="138"/>
      <c r="G576" s="138"/>
      <c r="H576" s="138"/>
      <c r="I576" s="138"/>
      <c r="J576" s="138"/>
      <c r="K576" s="138"/>
      <c r="L576" s="138"/>
    </row>
    <row r="577" spans="5:12" ht="13.2" x14ac:dyDescent="0.25">
      <c r="E577" s="138"/>
      <c r="F577" s="138"/>
      <c r="G577" s="138"/>
      <c r="H577" s="138"/>
      <c r="I577" s="138"/>
      <c r="J577" s="138"/>
      <c r="K577" s="138"/>
      <c r="L577" s="138"/>
    </row>
    <row r="578" spans="5:12" ht="13.2" x14ac:dyDescent="0.25">
      <c r="E578" s="138"/>
      <c r="F578" s="138"/>
      <c r="G578" s="138"/>
      <c r="H578" s="138"/>
      <c r="I578" s="138"/>
      <c r="J578" s="138"/>
      <c r="K578" s="138"/>
      <c r="L578" s="138"/>
    </row>
    <row r="579" spans="5:12" ht="13.2" x14ac:dyDescent="0.25">
      <c r="E579" s="138"/>
      <c r="F579" s="138"/>
      <c r="G579" s="138"/>
      <c r="H579" s="138"/>
      <c r="I579" s="138"/>
      <c r="J579" s="138"/>
      <c r="K579" s="138"/>
      <c r="L579" s="138"/>
    </row>
    <row r="580" spans="5:12" ht="13.2" x14ac:dyDescent="0.25">
      <c r="E580" s="138"/>
      <c r="F580" s="138"/>
      <c r="G580" s="138"/>
      <c r="H580" s="138"/>
      <c r="I580" s="138"/>
      <c r="J580" s="138"/>
      <c r="K580" s="138"/>
      <c r="L580" s="138"/>
    </row>
    <row r="581" spans="5:12" ht="13.2" x14ac:dyDescent="0.25">
      <c r="E581" s="138"/>
      <c r="F581" s="138"/>
      <c r="G581" s="138"/>
      <c r="H581" s="138"/>
      <c r="I581" s="138"/>
      <c r="J581" s="138"/>
      <c r="K581" s="138"/>
      <c r="L581" s="138"/>
    </row>
    <row r="582" spans="5:12" ht="13.2" x14ac:dyDescent="0.25">
      <c r="E582" s="138"/>
      <c r="F582" s="138"/>
      <c r="G582" s="138"/>
      <c r="H582" s="138"/>
      <c r="I582" s="138"/>
      <c r="J582" s="138"/>
      <c r="K582" s="138"/>
      <c r="L582" s="138"/>
    </row>
    <row r="583" spans="5:12" ht="13.2" x14ac:dyDescent="0.25">
      <c r="E583" s="138"/>
      <c r="F583" s="138"/>
      <c r="G583" s="138"/>
      <c r="H583" s="138"/>
      <c r="I583" s="138"/>
      <c r="J583" s="138"/>
      <c r="K583" s="138"/>
      <c r="L583" s="138"/>
    </row>
    <row r="584" spans="5:12" ht="13.2" x14ac:dyDescent="0.25">
      <c r="E584" s="138"/>
      <c r="F584" s="138"/>
      <c r="G584" s="138"/>
      <c r="H584" s="138"/>
      <c r="I584" s="138"/>
      <c r="J584" s="138"/>
      <c r="K584" s="138"/>
      <c r="L584" s="138"/>
    </row>
    <row r="585" spans="5:12" ht="13.2" x14ac:dyDescent="0.25">
      <c r="E585" s="138"/>
      <c r="F585" s="138"/>
      <c r="G585" s="138"/>
      <c r="H585" s="138"/>
      <c r="I585" s="138"/>
      <c r="J585" s="138"/>
      <c r="K585" s="138"/>
      <c r="L585" s="138"/>
    </row>
    <row r="586" spans="5:12" ht="13.2" x14ac:dyDescent="0.25">
      <c r="E586" s="138"/>
      <c r="F586" s="138"/>
      <c r="G586" s="138"/>
      <c r="H586" s="138"/>
      <c r="I586" s="138"/>
      <c r="J586" s="138"/>
      <c r="K586" s="138"/>
      <c r="L586" s="138"/>
    </row>
    <row r="587" spans="5:12" ht="13.2" x14ac:dyDescent="0.25">
      <c r="E587" s="138"/>
      <c r="F587" s="138"/>
      <c r="G587" s="138"/>
      <c r="H587" s="138"/>
      <c r="I587" s="138"/>
      <c r="J587" s="138"/>
      <c r="K587" s="138"/>
      <c r="L587" s="138"/>
    </row>
    <row r="588" spans="5:12" ht="13.2" x14ac:dyDescent="0.25">
      <c r="E588" s="138"/>
      <c r="F588" s="138"/>
      <c r="G588" s="138"/>
      <c r="H588" s="138"/>
      <c r="I588" s="138"/>
      <c r="J588" s="138"/>
      <c r="K588" s="138"/>
      <c r="L588" s="138"/>
    </row>
    <row r="589" spans="5:12" ht="13.2" x14ac:dyDescent="0.25">
      <c r="E589" s="138"/>
      <c r="F589" s="138"/>
      <c r="G589" s="138"/>
      <c r="H589" s="138"/>
      <c r="I589" s="138"/>
      <c r="J589" s="138"/>
      <c r="K589" s="138"/>
      <c r="L589" s="138"/>
    </row>
    <row r="590" spans="5:12" ht="13.2" x14ac:dyDescent="0.25">
      <c r="E590" s="138"/>
      <c r="F590" s="138"/>
      <c r="G590" s="138"/>
      <c r="H590" s="138"/>
      <c r="I590" s="138"/>
      <c r="J590" s="138"/>
      <c r="K590" s="138"/>
      <c r="L590" s="138"/>
    </row>
    <row r="591" spans="5:12" ht="13.2" x14ac:dyDescent="0.25">
      <c r="E591" s="138"/>
      <c r="F591" s="138"/>
      <c r="G591" s="138"/>
      <c r="H591" s="138"/>
      <c r="I591" s="138"/>
      <c r="J591" s="138"/>
      <c r="K591" s="138"/>
      <c r="L591" s="138"/>
    </row>
    <row r="592" spans="5:12" ht="13.2" x14ac:dyDescent="0.25">
      <c r="E592" s="138"/>
      <c r="F592" s="138"/>
      <c r="G592" s="138"/>
      <c r="H592" s="138"/>
      <c r="I592" s="138"/>
      <c r="J592" s="138"/>
      <c r="K592" s="138"/>
      <c r="L592" s="138"/>
    </row>
    <row r="593" spans="5:12" ht="13.2" x14ac:dyDescent="0.25">
      <c r="E593" s="138"/>
      <c r="F593" s="138"/>
      <c r="G593" s="138"/>
      <c r="H593" s="138"/>
      <c r="I593" s="138"/>
      <c r="J593" s="138"/>
      <c r="K593" s="138"/>
      <c r="L593" s="138"/>
    </row>
    <row r="594" spans="5:12" ht="13.2" x14ac:dyDescent="0.25">
      <c r="E594" s="138"/>
      <c r="F594" s="138"/>
      <c r="G594" s="138"/>
      <c r="H594" s="138"/>
      <c r="I594" s="138"/>
      <c r="J594" s="138"/>
      <c r="K594" s="138"/>
      <c r="L594" s="138"/>
    </row>
    <row r="595" spans="5:12" ht="13.2" x14ac:dyDescent="0.25">
      <c r="E595" s="138"/>
      <c r="F595" s="138"/>
      <c r="G595" s="138"/>
      <c r="H595" s="138"/>
      <c r="I595" s="138"/>
      <c r="J595" s="138"/>
      <c r="K595" s="138"/>
      <c r="L595" s="138"/>
    </row>
    <row r="596" spans="5:12" ht="13.2" x14ac:dyDescent="0.25">
      <c r="E596" s="138"/>
      <c r="F596" s="138"/>
      <c r="G596" s="138"/>
      <c r="H596" s="138"/>
      <c r="I596" s="138"/>
      <c r="J596" s="138"/>
      <c r="K596" s="138"/>
      <c r="L596" s="138"/>
    </row>
    <row r="597" spans="5:12" ht="13.2" x14ac:dyDescent="0.25">
      <c r="E597" s="138"/>
      <c r="F597" s="138"/>
      <c r="G597" s="138"/>
      <c r="H597" s="138"/>
      <c r="I597" s="138"/>
      <c r="J597" s="138"/>
      <c r="K597" s="138"/>
      <c r="L597" s="138"/>
    </row>
    <row r="598" spans="5:12" ht="13.2" x14ac:dyDescent="0.25">
      <c r="E598" s="138"/>
      <c r="F598" s="138"/>
      <c r="G598" s="138"/>
      <c r="H598" s="138"/>
      <c r="I598" s="138"/>
      <c r="J598" s="138"/>
      <c r="K598" s="138"/>
      <c r="L598" s="138"/>
    </row>
    <row r="599" spans="5:12" ht="13.2" x14ac:dyDescent="0.25">
      <c r="E599" s="138"/>
      <c r="F599" s="138"/>
      <c r="G599" s="138"/>
      <c r="H599" s="138"/>
      <c r="I599" s="138"/>
      <c r="J599" s="138"/>
      <c r="K599" s="138"/>
      <c r="L599" s="138"/>
    </row>
    <row r="600" spans="5:12" ht="13.2" x14ac:dyDescent="0.25">
      <c r="E600" s="138"/>
      <c r="F600" s="138"/>
      <c r="G600" s="138"/>
      <c r="H600" s="138"/>
      <c r="I600" s="138"/>
      <c r="J600" s="138"/>
      <c r="K600" s="138"/>
      <c r="L600" s="138"/>
    </row>
    <row r="601" spans="5:12" ht="13.2" x14ac:dyDescent="0.25">
      <c r="E601" s="138"/>
      <c r="F601" s="138"/>
      <c r="G601" s="138"/>
      <c r="H601" s="138"/>
      <c r="I601" s="138"/>
      <c r="J601" s="138"/>
      <c r="K601" s="138"/>
      <c r="L601" s="138"/>
    </row>
    <row r="602" spans="5:12" ht="13.2" x14ac:dyDescent="0.25">
      <c r="E602" s="138"/>
      <c r="F602" s="138"/>
      <c r="G602" s="138"/>
      <c r="H602" s="138"/>
      <c r="I602" s="138"/>
      <c r="J602" s="138"/>
      <c r="K602" s="138"/>
      <c r="L602" s="138"/>
    </row>
    <row r="603" spans="5:12" ht="13.2" x14ac:dyDescent="0.25">
      <c r="E603" s="138"/>
      <c r="F603" s="138"/>
      <c r="G603" s="138"/>
      <c r="H603" s="138"/>
      <c r="I603" s="138"/>
      <c r="J603" s="138"/>
      <c r="K603" s="138"/>
      <c r="L603" s="138"/>
    </row>
    <row r="604" spans="5:12" ht="13.2" x14ac:dyDescent="0.25">
      <c r="E604" s="138"/>
      <c r="F604" s="138"/>
      <c r="G604" s="138"/>
      <c r="H604" s="138"/>
      <c r="I604" s="138"/>
      <c r="J604" s="138"/>
      <c r="K604" s="138"/>
      <c r="L604" s="138"/>
    </row>
    <row r="605" spans="5:12" ht="13.2" x14ac:dyDescent="0.25">
      <c r="E605" s="138"/>
      <c r="F605" s="138"/>
      <c r="G605" s="138"/>
      <c r="H605" s="138"/>
      <c r="I605" s="138"/>
      <c r="J605" s="138"/>
      <c r="K605" s="138"/>
      <c r="L605" s="138"/>
    </row>
    <row r="606" spans="5:12" ht="13.2" x14ac:dyDescent="0.25">
      <c r="E606" s="138"/>
      <c r="F606" s="138"/>
      <c r="G606" s="138"/>
      <c r="H606" s="138"/>
      <c r="I606" s="138"/>
      <c r="J606" s="138"/>
      <c r="K606" s="138"/>
      <c r="L606" s="138"/>
    </row>
    <row r="607" spans="5:12" ht="13.2" x14ac:dyDescent="0.25">
      <c r="E607" s="138"/>
      <c r="F607" s="138"/>
      <c r="G607" s="138"/>
      <c r="H607" s="138"/>
      <c r="I607" s="138"/>
      <c r="J607" s="138"/>
      <c r="K607" s="138"/>
      <c r="L607" s="138"/>
    </row>
    <row r="608" spans="5:12" ht="13.2" x14ac:dyDescent="0.25">
      <c r="E608" s="138"/>
      <c r="F608" s="138"/>
      <c r="G608" s="138"/>
      <c r="H608" s="138"/>
      <c r="I608" s="138"/>
      <c r="J608" s="138"/>
      <c r="K608" s="138"/>
      <c r="L608" s="138"/>
    </row>
    <row r="609" spans="5:12" ht="13.2" x14ac:dyDescent="0.25">
      <c r="E609" s="138"/>
      <c r="F609" s="138"/>
      <c r="G609" s="138"/>
      <c r="H609" s="138"/>
      <c r="I609" s="138"/>
      <c r="J609" s="138"/>
      <c r="K609" s="138"/>
      <c r="L609" s="138"/>
    </row>
    <row r="610" spans="5:12" ht="13.2" x14ac:dyDescent="0.25">
      <c r="E610" s="138"/>
      <c r="F610" s="138"/>
      <c r="G610" s="138"/>
      <c r="H610" s="138"/>
      <c r="I610" s="138"/>
      <c r="J610" s="138"/>
      <c r="K610" s="138"/>
      <c r="L610" s="138"/>
    </row>
    <row r="611" spans="5:12" ht="13.2" x14ac:dyDescent="0.25">
      <c r="E611" s="138"/>
      <c r="F611" s="138"/>
      <c r="G611" s="138"/>
      <c r="H611" s="138"/>
      <c r="I611" s="138"/>
      <c r="J611" s="138"/>
      <c r="K611" s="138"/>
      <c r="L611" s="138"/>
    </row>
    <row r="612" spans="5:12" ht="13.2" x14ac:dyDescent="0.25">
      <c r="E612" s="138"/>
      <c r="F612" s="138"/>
      <c r="G612" s="138"/>
      <c r="H612" s="138"/>
      <c r="I612" s="138"/>
      <c r="J612" s="138"/>
      <c r="K612" s="138"/>
      <c r="L612" s="138"/>
    </row>
    <row r="613" spans="5:12" ht="13.2" x14ac:dyDescent="0.25">
      <c r="E613" s="138"/>
      <c r="F613" s="138"/>
      <c r="G613" s="138"/>
      <c r="H613" s="138"/>
      <c r="I613" s="138"/>
      <c r="J613" s="138"/>
      <c r="K613" s="138"/>
      <c r="L613" s="138"/>
    </row>
    <row r="614" spans="5:12" ht="13.2" x14ac:dyDescent="0.25">
      <c r="E614" s="138"/>
      <c r="F614" s="138"/>
      <c r="G614" s="138"/>
      <c r="H614" s="138"/>
      <c r="I614" s="138"/>
      <c r="J614" s="138"/>
      <c r="K614" s="138"/>
      <c r="L614" s="138"/>
    </row>
    <row r="615" spans="5:12" ht="13.2" x14ac:dyDescent="0.25">
      <c r="E615" s="138"/>
      <c r="F615" s="138"/>
      <c r="G615" s="138"/>
      <c r="H615" s="138"/>
      <c r="I615" s="138"/>
      <c r="J615" s="138"/>
      <c r="K615" s="138"/>
      <c r="L615" s="138"/>
    </row>
    <row r="616" spans="5:12" ht="13.2" x14ac:dyDescent="0.25">
      <c r="E616" s="138"/>
      <c r="F616" s="138"/>
      <c r="G616" s="138"/>
      <c r="H616" s="138"/>
      <c r="I616" s="138"/>
      <c r="J616" s="138"/>
      <c r="K616" s="138"/>
      <c r="L616" s="138"/>
    </row>
    <row r="617" spans="5:12" ht="13.2" x14ac:dyDescent="0.25">
      <c r="E617" s="138"/>
      <c r="F617" s="138"/>
      <c r="G617" s="138"/>
      <c r="H617" s="138"/>
      <c r="I617" s="138"/>
      <c r="J617" s="138"/>
      <c r="K617" s="138"/>
      <c r="L617" s="138"/>
    </row>
    <row r="618" spans="5:12" ht="13.2" x14ac:dyDescent="0.25">
      <c r="E618" s="138"/>
      <c r="F618" s="138"/>
      <c r="G618" s="138"/>
      <c r="H618" s="138"/>
      <c r="I618" s="138"/>
      <c r="J618" s="138"/>
      <c r="K618" s="138"/>
      <c r="L618" s="138"/>
    </row>
    <row r="619" spans="5:12" ht="13.2" x14ac:dyDescent="0.25">
      <c r="E619" s="138"/>
      <c r="F619" s="138"/>
      <c r="G619" s="138"/>
      <c r="H619" s="138"/>
      <c r="I619" s="138"/>
      <c r="J619" s="138"/>
      <c r="K619" s="138"/>
      <c r="L619" s="138"/>
    </row>
    <row r="620" spans="5:12" ht="13.2" x14ac:dyDescent="0.25">
      <c r="E620" s="138"/>
      <c r="F620" s="138"/>
      <c r="G620" s="138"/>
      <c r="H620" s="138"/>
      <c r="I620" s="138"/>
      <c r="J620" s="138"/>
      <c r="K620" s="138"/>
      <c r="L620" s="138"/>
    </row>
    <row r="621" spans="5:12" ht="13.2" x14ac:dyDescent="0.25">
      <c r="E621" s="138"/>
      <c r="F621" s="138"/>
      <c r="G621" s="138"/>
      <c r="H621" s="138"/>
      <c r="I621" s="138"/>
      <c r="J621" s="138"/>
      <c r="K621" s="138"/>
      <c r="L621" s="138"/>
    </row>
    <row r="622" spans="5:12" ht="13.2" x14ac:dyDescent="0.25">
      <c r="E622" s="138"/>
      <c r="F622" s="138"/>
      <c r="G622" s="138"/>
      <c r="H622" s="138"/>
      <c r="I622" s="138"/>
      <c r="J622" s="138"/>
      <c r="K622" s="138"/>
      <c r="L622" s="138"/>
    </row>
    <row r="623" spans="5:12" ht="13.2" x14ac:dyDescent="0.25">
      <c r="E623" s="138"/>
      <c r="F623" s="138"/>
      <c r="G623" s="138"/>
      <c r="H623" s="138"/>
      <c r="I623" s="138"/>
      <c r="J623" s="138"/>
      <c r="K623" s="138"/>
      <c r="L623" s="138"/>
    </row>
    <row r="624" spans="5:12" ht="13.2" x14ac:dyDescent="0.25">
      <c r="E624" s="138"/>
      <c r="F624" s="138"/>
      <c r="G624" s="138"/>
      <c r="H624" s="138"/>
      <c r="I624" s="138"/>
      <c r="J624" s="138"/>
      <c r="K624" s="138"/>
      <c r="L624" s="138"/>
    </row>
    <row r="625" spans="5:12" ht="13.2" x14ac:dyDescent="0.25">
      <c r="E625" s="138"/>
      <c r="F625" s="138"/>
      <c r="G625" s="138"/>
      <c r="H625" s="138"/>
      <c r="I625" s="138"/>
      <c r="J625" s="138"/>
      <c r="K625" s="138"/>
      <c r="L625" s="138"/>
    </row>
    <row r="626" spans="5:12" ht="13.2" x14ac:dyDescent="0.25">
      <c r="E626" s="138"/>
      <c r="F626" s="138"/>
      <c r="G626" s="138"/>
      <c r="H626" s="138"/>
      <c r="I626" s="138"/>
      <c r="J626" s="138"/>
      <c r="K626" s="138"/>
      <c r="L626" s="138"/>
    </row>
    <row r="627" spans="5:12" ht="13.2" x14ac:dyDescent="0.25">
      <c r="E627" s="138"/>
      <c r="F627" s="138"/>
      <c r="G627" s="138"/>
      <c r="H627" s="138"/>
      <c r="I627" s="138"/>
      <c r="J627" s="138"/>
      <c r="K627" s="138"/>
      <c r="L627" s="138"/>
    </row>
    <row r="628" spans="5:12" ht="13.2" x14ac:dyDescent="0.25">
      <c r="E628" s="138"/>
      <c r="F628" s="138"/>
      <c r="G628" s="138"/>
      <c r="H628" s="138"/>
      <c r="I628" s="138"/>
      <c r="J628" s="138"/>
      <c r="K628" s="138"/>
      <c r="L628" s="138"/>
    </row>
    <row r="629" spans="5:12" ht="13.2" x14ac:dyDescent="0.25">
      <c r="E629" s="138"/>
      <c r="F629" s="138"/>
      <c r="G629" s="138"/>
      <c r="H629" s="138"/>
      <c r="I629" s="138"/>
      <c r="J629" s="138"/>
      <c r="K629" s="138"/>
      <c r="L629" s="138"/>
    </row>
    <row r="630" spans="5:12" ht="13.2" x14ac:dyDescent="0.25">
      <c r="E630" s="138"/>
      <c r="F630" s="138"/>
      <c r="G630" s="138"/>
      <c r="H630" s="138"/>
      <c r="I630" s="138"/>
      <c r="J630" s="138"/>
      <c r="K630" s="138"/>
      <c r="L630" s="138"/>
    </row>
    <row r="631" spans="5:12" ht="13.2" x14ac:dyDescent="0.25">
      <c r="E631" s="138"/>
      <c r="F631" s="138"/>
      <c r="G631" s="138"/>
      <c r="H631" s="138"/>
      <c r="I631" s="138"/>
      <c r="J631" s="138"/>
      <c r="K631" s="138"/>
      <c r="L631" s="138"/>
    </row>
    <row r="632" spans="5:12" ht="13.2" x14ac:dyDescent="0.25">
      <c r="E632" s="138"/>
      <c r="F632" s="138"/>
      <c r="G632" s="138"/>
      <c r="H632" s="138"/>
      <c r="I632" s="138"/>
      <c r="J632" s="138"/>
      <c r="K632" s="138"/>
      <c r="L632" s="138"/>
    </row>
    <row r="633" spans="5:12" ht="13.2" x14ac:dyDescent="0.25">
      <c r="E633" s="138"/>
      <c r="F633" s="138"/>
      <c r="G633" s="138"/>
      <c r="H633" s="138"/>
      <c r="I633" s="138"/>
      <c r="J633" s="138"/>
      <c r="K633" s="138"/>
      <c r="L633" s="138"/>
    </row>
    <row r="634" spans="5:12" ht="13.2" x14ac:dyDescent="0.25">
      <c r="E634" s="138"/>
      <c r="F634" s="138"/>
      <c r="G634" s="138"/>
      <c r="H634" s="138"/>
      <c r="I634" s="138"/>
      <c r="J634" s="138"/>
      <c r="K634" s="138"/>
      <c r="L634" s="138"/>
    </row>
    <row r="635" spans="5:12" ht="13.2" x14ac:dyDescent="0.25">
      <c r="E635" s="138"/>
      <c r="F635" s="138"/>
      <c r="G635" s="138"/>
      <c r="H635" s="138"/>
      <c r="I635" s="138"/>
      <c r="J635" s="138"/>
      <c r="K635" s="138"/>
      <c r="L635" s="138"/>
    </row>
    <row r="636" spans="5:12" ht="13.2" x14ac:dyDescent="0.25">
      <c r="E636" s="138"/>
      <c r="F636" s="138"/>
      <c r="G636" s="138"/>
      <c r="H636" s="138"/>
      <c r="I636" s="138"/>
      <c r="J636" s="138"/>
      <c r="K636" s="138"/>
      <c r="L636" s="138"/>
    </row>
    <row r="637" spans="5:12" ht="13.2" x14ac:dyDescent="0.25">
      <c r="E637" s="138"/>
      <c r="F637" s="138"/>
      <c r="G637" s="138"/>
      <c r="H637" s="138"/>
      <c r="I637" s="138"/>
      <c r="J637" s="138"/>
      <c r="K637" s="138"/>
      <c r="L637" s="138"/>
    </row>
    <row r="638" spans="5:12" ht="13.2" x14ac:dyDescent="0.25">
      <c r="E638" s="138"/>
      <c r="F638" s="138"/>
      <c r="G638" s="138"/>
      <c r="H638" s="138"/>
      <c r="I638" s="138"/>
      <c r="J638" s="138"/>
      <c r="K638" s="138"/>
      <c r="L638" s="138"/>
    </row>
    <row r="639" spans="5:12" ht="13.2" x14ac:dyDescent="0.25">
      <c r="E639" s="138"/>
      <c r="F639" s="138"/>
      <c r="G639" s="138"/>
      <c r="H639" s="138"/>
      <c r="I639" s="138"/>
      <c r="J639" s="138"/>
      <c r="K639" s="138"/>
      <c r="L639" s="138"/>
    </row>
    <row r="640" spans="5:12" ht="13.2" x14ac:dyDescent="0.25">
      <c r="E640" s="138"/>
      <c r="F640" s="138"/>
      <c r="G640" s="138"/>
      <c r="H640" s="138"/>
      <c r="I640" s="138"/>
      <c r="J640" s="138"/>
      <c r="K640" s="138"/>
      <c r="L640" s="138"/>
    </row>
    <row r="641" spans="5:12" ht="13.2" x14ac:dyDescent="0.25">
      <c r="E641" s="138"/>
      <c r="F641" s="138"/>
      <c r="G641" s="138"/>
      <c r="H641" s="138"/>
      <c r="I641" s="138"/>
      <c r="J641" s="138"/>
      <c r="K641" s="138"/>
      <c r="L641" s="138"/>
    </row>
    <row r="642" spans="5:12" ht="13.2" x14ac:dyDescent="0.25">
      <c r="E642" s="138"/>
      <c r="F642" s="138"/>
      <c r="G642" s="138"/>
      <c r="H642" s="138"/>
      <c r="I642" s="138"/>
      <c r="J642" s="138"/>
      <c r="K642" s="138"/>
      <c r="L642" s="138"/>
    </row>
    <row r="643" spans="5:12" ht="13.2" x14ac:dyDescent="0.25">
      <c r="E643" s="138"/>
      <c r="F643" s="138"/>
      <c r="G643" s="138"/>
      <c r="H643" s="138"/>
      <c r="I643" s="138"/>
      <c r="J643" s="138"/>
      <c r="K643" s="138"/>
      <c r="L643" s="138"/>
    </row>
    <row r="644" spans="5:12" ht="13.2" x14ac:dyDescent="0.25">
      <c r="E644" s="138"/>
      <c r="F644" s="138"/>
      <c r="G644" s="138"/>
      <c r="H644" s="138"/>
      <c r="I644" s="138"/>
      <c r="J644" s="138"/>
      <c r="K644" s="138"/>
      <c r="L644" s="138"/>
    </row>
    <row r="645" spans="5:12" ht="13.2" x14ac:dyDescent="0.25">
      <c r="E645" s="138"/>
      <c r="F645" s="138"/>
      <c r="G645" s="138"/>
      <c r="H645" s="138"/>
      <c r="I645" s="138"/>
      <c r="J645" s="138"/>
      <c r="K645" s="138"/>
      <c r="L645" s="138"/>
    </row>
    <row r="646" spans="5:12" ht="13.2" x14ac:dyDescent="0.25">
      <c r="E646" s="138"/>
      <c r="F646" s="138"/>
      <c r="G646" s="138"/>
      <c r="H646" s="138"/>
      <c r="I646" s="138"/>
      <c r="J646" s="138"/>
      <c r="K646" s="138"/>
      <c r="L646" s="138"/>
    </row>
    <row r="647" spans="5:12" ht="13.2" x14ac:dyDescent="0.25">
      <c r="E647" s="138"/>
      <c r="F647" s="138"/>
      <c r="G647" s="138"/>
      <c r="H647" s="138"/>
      <c r="I647" s="138"/>
      <c r="J647" s="138"/>
      <c r="K647" s="138"/>
      <c r="L647" s="138"/>
    </row>
    <row r="648" spans="5:12" ht="13.2" x14ac:dyDescent="0.25">
      <c r="E648" s="138"/>
      <c r="F648" s="138"/>
      <c r="G648" s="138"/>
      <c r="H648" s="138"/>
      <c r="I648" s="138"/>
      <c r="J648" s="138"/>
      <c r="K648" s="138"/>
      <c r="L648" s="138"/>
    </row>
    <row r="649" spans="5:12" ht="13.2" x14ac:dyDescent="0.25">
      <c r="E649" s="138"/>
      <c r="F649" s="138"/>
      <c r="G649" s="138"/>
      <c r="H649" s="138"/>
      <c r="I649" s="138"/>
      <c r="J649" s="138"/>
      <c r="K649" s="138"/>
      <c r="L649" s="138"/>
    </row>
    <row r="650" spans="5:12" ht="13.2" x14ac:dyDescent="0.25">
      <c r="E650" s="138"/>
      <c r="F650" s="138"/>
      <c r="G650" s="138"/>
      <c r="H650" s="138"/>
      <c r="I650" s="138"/>
      <c r="J650" s="138"/>
      <c r="K650" s="138"/>
      <c r="L650" s="138"/>
    </row>
    <row r="651" spans="5:12" ht="13.2" x14ac:dyDescent="0.25">
      <c r="E651" s="138"/>
      <c r="F651" s="138"/>
      <c r="G651" s="138"/>
      <c r="H651" s="138"/>
      <c r="I651" s="138"/>
      <c r="J651" s="138"/>
      <c r="K651" s="138"/>
      <c r="L651" s="138"/>
    </row>
    <row r="652" spans="5:12" ht="13.2" x14ac:dyDescent="0.25">
      <c r="E652" s="138"/>
      <c r="F652" s="138"/>
      <c r="G652" s="138"/>
      <c r="H652" s="138"/>
      <c r="I652" s="138"/>
      <c r="J652" s="138"/>
      <c r="K652" s="138"/>
      <c r="L652" s="138"/>
    </row>
    <row r="653" spans="5:12" ht="13.2" x14ac:dyDescent="0.25">
      <c r="E653" s="138"/>
      <c r="F653" s="138"/>
      <c r="G653" s="138"/>
      <c r="H653" s="138"/>
      <c r="I653" s="138"/>
      <c r="J653" s="138"/>
      <c r="K653" s="138"/>
      <c r="L653" s="138"/>
    </row>
    <row r="654" spans="5:12" ht="13.2" x14ac:dyDescent="0.25">
      <c r="E654" s="138"/>
      <c r="F654" s="138"/>
      <c r="G654" s="138"/>
      <c r="H654" s="138"/>
      <c r="I654" s="138"/>
      <c r="J654" s="138"/>
      <c r="K654" s="138"/>
      <c r="L654" s="138"/>
    </row>
    <row r="655" spans="5:12" ht="13.2" x14ac:dyDescent="0.25">
      <c r="E655" s="138"/>
      <c r="F655" s="138"/>
      <c r="G655" s="138"/>
      <c r="H655" s="138"/>
      <c r="I655" s="138"/>
      <c r="J655" s="138"/>
      <c r="K655" s="138"/>
      <c r="L655" s="138"/>
    </row>
    <row r="656" spans="5:12" ht="13.2" x14ac:dyDescent="0.25">
      <c r="E656" s="138"/>
      <c r="F656" s="138"/>
      <c r="G656" s="138"/>
      <c r="H656" s="138"/>
      <c r="I656" s="138"/>
      <c r="J656" s="138"/>
      <c r="K656" s="138"/>
      <c r="L656" s="138"/>
    </row>
    <row r="657" spans="5:12" ht="13.2" x14ac:dyDescent="0.25">
      <c r="E657" s="138"/>
      <c r="F657" s="138"/>
      <c r="G657" s="138"/>
      <c r="H657" s="138"/>
      <c r="I657" s="138"/>
      <c r="J657" s="138"/>
      <c r="K657" s="138"/>
      <c r="L657" s="138"/>
    </row>
    <row r="658" spans="5:12" ht="13.2" x14ac:dyDescent="0.25">
      <c r="E658" s="138"/>
      <c r="F658" s="138"/>
      <c r="G658" s="138"/>
      <c r="H658" s="138"/>
      <c r="I658" s="138"/>
      <c r="J658" s="138"/>
      <c r="K658" s="138"/>
      <c r="L658" s="138"/>
    </row>
    <row r="659" spans="5:12" ht="13.2" x14ac:dyDescent="0.25">
      <c r="E659" s="138"/>
      <c r="F659" s="138"/>
      <c r="G659" s="138"/>
      <c r="H659" s="138"/>
      <c r="I659" s="138"/>
      <c r="J659" s="138"/>
      <c r="K659" s="138"/>
      <c r="L659" s="138"/>
    </row>
    <row r="660" spans="5:12" ht="13.2" x14ac:dyDescent="0.25">
      <c r="E660" s="138"/>
      <c r="F660" s="138"/>
      <c r="G660" s="138"/>
      <c r="H660" s="138"/>
      <c r="I660" s="138"/>
      <c r="J660" s="138"/>
      <c r="K660" s="138"/>
      <c r="L660" s="138"/>
    </row>
    <row r="661" spans="5:12" ht="13.2" x14ac:dyDescent="0.25">
      <c r="E661" s="138"/>
      <c r="F661" s="138"/>
      <c r="G661" s="138"/>
      <c r="H661" s="138"/>
      <c r="I661" s="138"/>
      <c r="J661" s="138"/>
      <c r="K661" s="138"/>
      <c r="L661" s="138"/>
    </row>
    <row r="662" spans="5:12" ht="13.2" x14ac:dyDescent="0.25">
      <c r="E662" s="138"/>
      <c r="F662" s="138"/>
      <c r="G662" s="138"/>
      <c r="H662" s="138"/>
      <c r="I662" s="138"/>
      <c r="J662" s="138"/>
      <c r="K662" s="138"/>
      <c r="L662" s="138"/>
    </row>
    <row r="663" spans="5:12" ht="13.2" x14ac:dyDescent="0.25">
      <c r="E663" s="138"/>
      <c r="F663" s="138"/>
      <c r="G663" s="138"/>
      <c r="H663" s="138"/>
      <c r="I663" s="138"/>
      <c r="J663" s="138"/>
      <c r="K663" s="138"/>
      <c r="L663" s="138"/>
    </row>
    <row r="664" spans="5:12" ht="13.2" x14ac:dyDescent="0.25">
      <c r="E664" s="138"/>
      <c r="F664" s="138"/>
      <c r="G664" s="138"/>
      <c r="H664" s="138"/>
      <c r="I664" s="138"/>
      <c r="J664" s="138"/>
      <c r="K664" s="138"/>
      <c r="L664" s="138"/>
    </row>
    <row r="665" spans="5:12" ht="13.2" x14ac:dyDescent="0.25">
      <c r="E665" s="138"/>
      <c r="F665" s="138"/>
      <c r="G665" s="138"/>
      <c r="H665" s="138"/>
      <c r="I665" s="138"/>
      <c r="J665" s="138"/>
      <c r="K665" s="138"/>
      <c r="L665" s="138"/>
    </row>
    <row r="666" spans="5:12" ht="13.2" x14ac:dyDescent="0.25">
      <c r="E666" s="138"/>
      <c r="F666" s="138"/>
      <c r="G666" s="138"/>
      <c r="H666" s="138"/>
      <c r="I666" s="138"/>
      <c r="J666" s="138"/>
      <c r="K666" s="138"/>
      <c r="L666" s="138"/>
    </row>
    <row r="667" spans="5:12" ht="13.2" x14ac:dyDescent="0.25">
      <c r="E667" s="138"/>
      <c r="F667" s="138"/>
      <c r="G667" s="138"/>
      <c r="H667" s="138"/>
      <c r="I667" s="138"/>
      <c r="J667" s="138"/>
      <c r="K667" s="138"/>
      <c r="L667" s="138"/>
    </row>
    <row r="668" spans="5:12" ht="13.2" x14ac:dyDescent="0.25">
      <c r="E668" s="138"/>
      <c r="F668" s="138"/>
      <c r="G668" s="138"/>
      <c r="H668" s="138"/>
      <c r="I668" s="138"/>
      <c r="J668" s="138"/>
      <c r="K668" s="138"/>
      <c r="L668" s="138"/>
    </row>
    <row r="669" spans="5:12" ht="13.2" x14ac:dyDescent="0.25">
      <c r="E669" s="138"/>
      <c r="F669" s="138"/>
      <c r="G669" s="138"/>
      <c r="H669" s="138"/>
      <c r="I669" s="138"/>
      <c r="J669" s="138"/>
      <c r="K669" s="138"/>
      <c r="L669" s="138"/>
    </row>
    <row r="670" spans="5:12" ht="13.2" x14ac:dyDescent="0.25">
      <c r="E670" s="138"/>
      <c r="F670" s="138"/>
      <c r="G670" s="138"/>
      <c r="H670" s="138"/>
      <c r="I670" s="138"/>
      <c r="J670" s="138"/>
      <c r="K670" s="138"/>
      <c r="L670" s="138"/>
    </row>
    <row r="671" spans="5:12" ht="13.2" x14ac:dyDescent="0.25">
      <c r="E671" s="138"/>
      <c r="F671" s="138"/>
      <c r="G671" s="138"/>
      <c r="H671" s="138"/>
      <c r="I671" s="138"/>
      <c r="J671" s="138"/>
      <c r="K671" s="138"/>
      <c r="L671" s="138"/>
    </row>
    <row r="672" spans="5:12" ht="13.2" x14ac:dyDescent="0.25">
      <c r="E672" s="138"/>
      <c r="F672" s="138"/>
      <c r="G672" s="138"/>
      <c r="H672" s="138"/>
      <c r="I672" s="138"/>
      <c r="J672" s="138"/>
      <c r="K672" s="138"/>
      <c r="L672" s="138"/>
    </row>
    <row r="673" spans="5:12" ht="13.2" x14ac:dyDescent="0.25">
      <c r="E673" s="138"/>
      <c r="F673" s="138"/>
      <c r="G673" s="138"/>
      <c r="H673" s="138"/>
      <c r="I673" s="138"/>
      <c r="J673" s="138"/>
      <c r="K673" s="138"/>
      <c r="L673" s="138"/>
    </row>
    <row r="674" spans="5:12" ht="13.2" x14ac:dyDescent="0.25">
      <c r="E674" s="138"/>
      <c r="F674" s="138"/>
      <c r="G674" s="138"/>
      <c r="H674" s="138"/>
      <c r="I674" s="138"/>
      <c r="J674" s="138"/>
      <c r="K674" s="138"/>
      <c r="L674" s="138"/>
    </row>
    <row r="675" spans="5:12" ht="13.2" x14ac:dyDescent="0.25">
      <c r="E675" s="138"/>
      <c r="F675" s="138"/>
      <c r="G675" s="138"/>
      <c r="H675" s="138"/>
      <c r="I675" s="138"/>
      <c r="J675" s="138"/>
      <c r="K675" s="138"/>
      <c r="L675" s="138"/>
    </row>
    <row r="676" spans="5:12" ht="13.2" x14ac:dyDescent="0.25">
      <c r="E676" s="138"/>
      <c r="F676" s="138"/>
      <c r="G676" s="138"/>
      <c r="H676" s="138"/>
      <c r="I676" s="138"/>
      <c r="J676" s="138"/>
      <c r="K676" s="138"/>
      <c r="L676" s="138"/>
    </row>
    <row r="677" spans="5:12" ht="13.2" x14ac:dyDescent="0.25">
      <c r="E677" s="138"/>
      <c r="F677" s="138"/>
      <c r="G677" s="138"/>
      <c r="H677" s="138"/>
      <c r="I677" s="138"/>
      <c r="J677" s="138"/>
      <c r="K677" s="138"/>
      <c r="L677" s="138"/>
    </row>
    <row r="678" spans="5:12" ht="13.2" x14ac:dyDescent="0.25">
      <c r="E678" s="138"/>
      <c r="F678" s="138"/>
      <c r="G678" s="138"/>
      <c r="H678" s="138"/>
      <c r="I678" s="138"/>
      <c r="J678" s="138"/>
      <c r="K678" s="138"/>
      <c r="L678" s="138"/>
    </row>
    <row r="679" spans="5:12" ht="13.2" x14ac:dyDescent="0.25">
      <c r="E679" s="138"/>
      <c r="F679" s="138"/>
      <c r="G679" s="138"/>
      <c r="H679" s="138"/>
      <c r="I679" s="138"/>
      <c r="J679" s="138"/>
      <c r="K679" s="138"/>
      <c r="L679" s="138"/>
    </row>
    <row r="680" spans="5:12" ht="13.2" x14ac:dyDescent="0.25">
      <c r="E680" s="138"/>
      <c r="F680" s="138"/>
      <c r="G680" s="138"/>
      <c r="H680" s="138"/>
      <c r="I680" s="138"/>
      <c r="J680" s="138"/>
      <c r="K680" s="138"/>
      <c r="L680" s="138"/>
    </row>
    <row r="681" spans="5:12" ht="13.2" x14ac:dyDescent="0.25">
      <c r="E681" s="138"/>
      <c r="F681" s="138"/>
      <c r="G681" s="138"/>
      <c r="H681" s="138"/>
      <c r="I681" s="138"/>
      <c r="J681" s="138"/>
      <c r="K681" s="138"/>
      <c r="L681" s="138"/>
    </row>
    <row r="682" spans="5:12" ht="13.2" x14ac:dyDescent="0.25">
      <c r="E682" s="138"/>
      <c r="F682" s="138"/>
      <c r="G682" s="138"/>
      <c r="H682" s="138"/>
      <c r="I682" s="138"/>
      <c r="J682" s="138"/>
      <c r="K682" s="138"/>
      <c r="L682" s="138"/>
    </row>
    <row r="683" spans="5:12" ht="13.2" x14ac:dyDescent="0.25">
      <c r="E683" s="138"/>
      <c r="F683" s="138"/>
      <c r="G683" s="138"/>
      <c r="H683" s="138"/>
      <c r="I683" s="138"/>
      <c r="J683" s="138"/>
      <c r="K683" s="138"/>
      <c r="L683" s="138"/>
    </row>
    <row r="684" spans="5:12" ht="13.2" x14ac:dyDescent="0.25">
      <c r="E684" s="138"/>
      <c r="F684" s="138"/>
      <c r="G684" s="138"/>
      <c r="H684" s="138"/>
      <c r="I684" s="138"/>
      <c r="J684" s="138"/>
      <c r="K684" s="138"/>
      <c r="L684" s="138"/>
    </row>
    <row r="685" spans="5:12" ht="13.2" x14ac:dyDescent="0.25">
      <c r="E685" s="138"/>
      <c r="F685" s="138"/>
      <c r="G685" s="138"/>
      <c r="H685" s="138"/>
      <c r="I685" s="138"/>
      <c r="J685" s="138"/>
      <c r="K685" s="138"/>
      <c r="L685" s="138"/>
    </row>
    <row r="686" spans="5:12" ht="13.2" x14ac:dyDescent="0.25">
      <c r="E686" s="138"/>
      <c r="F686" s="138"/>
      <c r="G686" s="138"/>
      <c r="H686" s="138"/>
      <c r="I686" s="138"/>
      <c r="J686" s="138"/>
      <c r="K686" s="138"/>
      <c r="L686" s="138"/>
    </row>
    <row r="687" spans="5:12" ht="13.2" x14ac:dyDescent="0.25">
      <c r="E687" s="138"/>
      <c r="F687" s="138"/>
      <c r="G687" s="138"/>
      <c r="H687" s="138"/>
      <c r="I687" s="138"/>
      <c r="J687" s="138"/>
      <c r="K687" s="138"/>
      <c r="L687" s="138"/>
    </row>
    <row r="688" spans="5:12" ht="13.2" x14ac:dyDescent="0.25">
      <c r="E688" s="138"/>
      <c r="F688" s="138"/>
      <c r="G688" s="138"/>
      <c r="H688" s="138"/>
      <c r="I688" s="138"/>
      <c r="J688" s="138"/>
      <c r="K688" s="138"/>
      <c r="L688" s="138"/>
    </row>
    <row r="689" spans="5:12" ht="13.2" x14ac:dyDescent="0.25">
      <c r="E689" s="138"/>
      <c r="F689" s="138"/>
      <c r="G689" s="138"/>
      <c r="H689" s="138"/>
      <c r="I689" s="138"/>
      <c r="J689" s="138"/>
      <c r="K689" s="138"/>
      <c r="L689" s="138"/>
    </row>
    <row r="690" spans="5:12" ht="13.2" x14ac:dyDescent="0.25">
      <c r="E690" s="138"/>
      <c r="F690" s="138"/>
      <c r="G690" s="138"/>
      <c r="H690" s="138"/>
      <c r="I690" s="138"/>
      <c r="J690" s="138"/>
      <c r="K690" s="138"/>
      <c r="L690" s="138"/>
    </row>
    <row r="691" spans="5:12" ht="13.2" x14ac:dyDescent="0.25">
      <c r="E691" s="138"/>
      <c r="F691" s="138"/>
      <c r="G691" s="138"/>
      <c r="H691" s="138"/>
      <c r="I691" s="138"/>
      <c r="J691" s="138"/>
      <c r="K691" s="138"/>
      <c r="L691" s="138"/>
    </row>
    <row r="692" spans="5:12" ht="13.2" x14ac:dyDescent="0.25">
      <c r="E692" s="138"/>
      <c r="F692" s="138"/>
      <c r="G692" s="138"/>
      <c r="H692" s="138"/>
      <c r="I692" s="138"/>
      <c r="J692" s="138"/>
      <c r="K692" s="138"/>
      <c r="L692" s="138"/>
    </row>
    <row r="693" spans="5:12" ht="13.2" x14ac:dyDescent="0.25">
      <c r="E693" s="138"/>
      <c r="F693" s="138"/>
      <c r="G693" s="138"/>
      <c r="H693" s="138"/>
      <c r="I693" s="138"/>
      <c r="J693" s="138"/>
      <c r="K693" s="138"/>
      <c r="L693" s="138"/>
    </row>
    <row r="694" spans="5:12" ht="13.2" x14ac:dyDescent="0.25">
      <c r="E694" s="138"/>
      <c r="F694" s="138"/>
      <c r="G694" s="138"/>
      <c r="H694" s="138"/>
      <c r="I694" s="138"/>
      <c r="J694" s="138"/>
      <c r="K694" s="138"/>
      <c r="L694" s="138"/>
    </row>
    <row r="695" spans="5:12" ht="13.2" x14ac:dyDescent="0.25">
      <c r="E695" s="138"/>
      <c r="F695" s="138"/>
      <c r="G695" s="138"/>
      <c r="H695" s="138"/>
      <c r="I695" s="138"/>
      <c r="J695" s="138"/>
      <c r="K695" s="138"/>
      <c r="L695" s="138"/>
    </row>
    <row r="696" spans="5:12" ht="13.2" x14ac:dyDescent="0.25">
      <c r="E696" s="138"/>
      <c r="F696" s="138"/>
      <c r="G696" s="138"/>
      <c r="H696" s="138"/>
      <c r="I696" s="138"/>
      <c r="J696" s="138"/>
      <c r="K696" s="138"/>
      <c r="L696" s="138"/>
    </row>
    <row r="697" spans="5:12" ht="13.2" x14ac:dyDescent="0.25">
      <c r="E697" s="138"/>
      <c r="F697" s="138"/>
      <c r="G697" s="138"/>
      <c r="H697" s="138"/>
      <c r="I697" s="138"/>
      <c r="J697" s="138"/>
      <c r="K697" s="138"/>
      <c r="L697" s="138"/>
    </row>
    <row r="698" spans="5:12" ht="13.2" x14ac:dyDescent="0.25">
      <c r="E698" s="138"/>
      <c r="F698" s="138"/>
      <c r="G698" s="138"/>
      <c r="H698" s="138"/>
      <c r="I698" s="138"/>
      <c r="J698" s="138"/>
      <c r="K698" s="138"/>
      <c r="L698" s="138"/>
    </row>
    <row r="699" spans="5:12" ht="13.2" x14ac:dyDescent="0.25">
      <c r="E699" s="138"/>
      <c r="F699" s="138"/>
      <c r="G699" s="138"/>
      <c r="H699" s="138"/>
      <c r="I699" s="138"/>
      <c r="J699" s="138"/>
      <c r="K699" s="138"/>
      <c r="L699" s="138"/>
    </row>
    <row r="700" spans="5:12" ht="13.2" x14ac:dyDescent="0.25">
      <c r="E700" s="138"/>
      <c r="F700" s="138"/>
      <c r="G700" s="138"/>
      <c r="H700" s="138"/>
      <c r="I700" s="138"/>
      <c r="J700" s="138"/>
      <c r="K700" s="138"/>
      <c r="L700" s="138"/>
    </row>
    <row r="701" spans="5:12" ht="13.2" x14ac:dyDescent="0.25">
      <c r="E701" s="138"/>
      <c r="F701" s="138"/>
      <c r="G701" s="138"/>
      <c r="H701" s="138"/>
      <c r="I701" s="138"/>
      <c r="J701" s="138"/>
      <c r="K701" s="138"/>
      <c r="L701" s="138"/>
    </row>
    <row r="702" spans="5:12" ht="13.2" x14ac:dyDescent="0.25">
      <c r="E702" s="138"/>
      <c r="F702" s="138"/>
      <c r="G702" s="138"/>
      <c r="H702" s="138"/>
      <c r="I702" s="138"/>
      <c r="J702" s="138"/>
      <c r="K702" s="138"/>
      <c r="L702" s="138"/>
    </row>
    <row r="703" spans="5:12" ht="13.2" x14ac:dyDescent="0.25">
      <c r="E703" s="138"/>
      <c r="F703" s="138"/>
      <c r="G703" s="138"/>
      <c r="H703" s="138"/>
      <c r="I703" s="138"/>
      <c r="J703" s="138"/>
      <c r="K703" s="138"/>
      <c r="L703" s="138"/>
    </row>
    <row r="704" spans="5:12" ht="13.2" x14ac:dyDescent="0.25">
      <c r="E704" s="138"/>
      <c r="F704" s="138"/>
      <c r="G704" s="138"/>
      <c r="H704" s="138"/>
      <c r="I704" s="138"/>
      <c r="J704" s="138"/>
      <c r="K704" s="138"/>
      <c r="L704" s="138"/>
    </row>
    <row r="705" spans="5:12" ht="13.2" x14ac:dyDescent="0.25">
      <c r="E705" s="138"/>
      <c r="F705" s="138"/>
      <c r="G705" s="138"/>
      <c r="H705" s="138"/>
      <c r="I705" s="138"/>
      <c r="J705" s="138"/>
      <c r="K705" s="138"/>
      <c r="L705" s="138"/>
    </row>
    <row r="706" spans="5:12" ht="13.2" x14ac:dyDescent="0.25">
      <c r="E706" s="138"/>
      <c r="F706" s="138"/>
      <c r="G706" s="138"/>
      <c r="H706" s="138"/>
      <c r="I706" s="138"/>
      <c r="J706" s="138"/>
      <c r="K706" s="138"/>
      <c r="L706" s="138"/>
    </row>
    <row r="707" spans="5:12" ht="13.2" x14ac:dyDescent="0.25">
      <c r="E707" s="138"/>
      <c r="F707" s="138"/>
      <c r="G707" s="138"/>
      <c r="H707" s="138"/>
      <c r="I707" s="138"/>
      <c r="J707" s="138"/>
      <c r="K707" s="138"/>
      <c r="L707" s="138"/>
    </row>
    <row r="708" spans="5:12" ht="13.2" x14ac:dyDescent="0.25">
      <c r="E708" s="138"/>
      <c r="F708" s="138"/>
      <c r="G708" s="138"/>
      <c r="H708" s="138"/>
      <c r="I708" s="138"/>
      <c r="J708" s="138"/>
      <c r="K708" s="138"/>
      <c r="L708" s="138"/>
    </row>
    <row r="709" spans="5:12" ht="13.2" x14ac:dyDescent="0.25">
      <c r="E709" s="138"/>
      <c r="F709" s="138"/>
      <c r="G709" s="138"/>
      <c r="H709" s="138"/>
      <c r="I709" s="138"/>
      <c r="J709" s="138"/>
      <c r="K709" s="138"/>
      <c r="L709" s="138"/>
    </row>
    <row r="710" spans="5:12" ht="13.2" x14ac:dyDescent="0.25">
      <c r="E710" s="138"/>
      <c r="F710" s="138"/>
      <c r="G710" s="138"/>
      <c r="H710" s="138"/>
      <c r="I710" s="138"/>
      <c r="J710" s="138"/>
      <c r="K710" s="138"/>
      <c r="L710" s="138"/>
    </row>
    <row r="711" spans="5:12" ht="13.2" x14ac:dyDescent="0.25">
      <c r="E711" s="138"/>
      <c r="F711" s="138"/>
      <c r="G711" s="138"/>
      <c r="H711" s="138"/>
      <c r="I711" s="138"/>
      <c r="J711" s="138"/>
      <c r="K711" s="138"/>
      <c r="L711" s="138"/>
    </row>
    <row r="712" spans="5:12" ht="13.2" x14ac:dyDescent="0.25">
      <c r="E712" s="138"/>
      <c r="F712" s="138"/>
      <c r="G712" s="138"/>
      <c r="H712" s="138"/>
      <c r="I712" s="138"/>
      <c r="J712" s="138"/>
      <c r="K712" s="138"/>
      <c r="L712" s="138"/>
    </row>
    <row r="713" spans="5:12" ht="13.2" x14ac:dyDescent="0.25">
      <c r="E713" s="138"/>
      <c r="F713" s="138"/>
      <c r="G713" s="138"/>
      <c r="H713" s="138"/>
      <c r="I713" s="138"/>
      <c r="J713" s="138"/>
      <c r="K713" s="138"/>
      <c r="L713" s="138"/>
    </row>
    <row r="714" spans="5:12" ht="13.2" x14ac:dyDescent="0.25">
      <c r="E714" s="138"/>
      <c r="F714" s="138"/>
      <c r="G714" s="138"/>
      <c r="H714" s="138"/>
      <c r="I714" s="138"/>
      <c r="J714" s="138"/>
      <c r="K714" s="138"/>
      <c r="L714" s="138"/>
    </row>
    <row r="715" spans="5:12" ht="13.2" x14ac:dyDescent="0.25">
      <c r="E715" s="138"/>
      <c r="F715" s="138"/>
      <c r="G715" s="138"/>
      <c r="H715" s="138"/>
      <c r="I715" s="138"/>
      <c r="J715" s="138"/>
      <c r="K715" s="138"/>
      <c r="L715" s="138"/>
    </row>
    <row r="716" spans="5:12" ht="13.2" x14ac:dyDescent="0.25">
      <c r="E716" s="138"/>
      <c r="F716" s="138"/>
      <c r="G716" s="138"/>
      <c r="H716" s="138"/>
      <c r="I716" s="138"/>
      <c r="J716" s="138"/>
      <c r="K716" s="138"/>
      <c r="L716" s="138"/>
    </row>
    <row r="717" spans="5:12" ht="13.2" x14ac:dyDescent="0.25">
      <c r="E717" s="138"/>
      <c r="F717" s="138"/>
      <c r="G717" s="138"/>
      <c r="H717" s="138"/>
      <c r="I717" s="138"/>
      <c r="J717" s="138"/>
      <c r="K717" s="138"/>
      <c r="L717" s="138"/>
    </row>
    <row r="718" spans="5:12" ht="13.2" x14ac:dyDescent="0.25">
      <c r="E718" s="138"/>
      <c r="F718" s="138"/>
      <c r="G718" s="138"/>
      <c r="H718" s="138"/>
      <c r="I718" s="138"/>
      <c r="J718" s="138"/>
      <c r="K718" s="138"/>
      <c r="L718" s="138"/>
    </row>
    <row r="719" spans="5:12" ht="13.2" x14ac:dyDescent="0.25">
      <c r="E719" s="138"/>
      <c r="F719" s="138"/>
      <c r="G719" s="138"/>
      <c r="H719" s="138"/>
      <c r="I719" s="138"/>
      <c r="J719" s="138"/>
      <c r="K719" s="138"/>
      <c r="L719" s="138"/>
    </row>
    <row r="720" spans="5:12" ht="13.2" x14ac:dyDescent="0.25">
      <c r="E720" s="138"/>
      <c r="F720" s="138"/>
      <c r="G720" s="138"/>
      <c r="H720" s="138"/>
      <c r="I720" s="138"/>
      <c r="J720" s="138"/>
      <c r="K720" s="138"/>
      <c r="L720" s="138"/>
    </row>
    <row r="721" spans="5:12" ht="13.2" x14ac:dyDescent="0.25">
      <c r="E721" s="138"/>
      <c r="F721" s="138"/>
      <c r="G721" s="138"/>
      <c r="H721" s="138"/>
      <c r="I721" s="138"/>
      <c r="J721" s="138"/>
      <c r="K721" s="138"/>
      <c r="L721" s="138"/>
    </row>
    <row r="722" spans="5:12" ht="13.2" x14ac:dyDescent="0.25">
      <c r="E722" s="138"/>
      <c r="F722" s="138"/>
      <c r="G722" s="138"/>
      <c r="H722" s="138"/>
      <c r="I722" s="138"/>
      <c r="J722" s="138"/>
      <c r="K722" s="138"/>
      <c r="L722" s="138"/>
    </row>
    <row r="723" spans="5:12" ht="13.2" x14ac:dyDescent="0.25">
      <c r="E723" s="138"/>
      <c r="F723" s="138"/>
      <c r="G723" s="138"/>
      <c r="H723" s="138"/>
      <c r="I723" s="138"/>
      <c r="J723" s="138"/>
      <c r="K723" s="138"/>
      <c r="L723" s="138"/>
    </row>
    <row r="724" spans="5:12" ht="13.2" x14ac:dyDescent="0.25">
      <c r="E724" s="138"/>
      <c r="F724" s="138"/>
      <c r="G724" s="138"/>
      <c r="H724" s="138"/>
      <c r="I724" s="138"/>
      <c r="J724" s="138"/>
      <c r="K724" s="138"/>
      <c r="L724" s="138"/>
    </row>
    <row r="725" spans="5:12" ht="13.2" x14ac:dyDescent="0.25">
      <c r="E725" s="138"/>
      <c r="F725" s="138"/>
      <c r="G725" s="138"/>
      <c r="H725" s="138"/>
      <c r="I725" s="138"/>
      <c r="J725" s="138"/>
      <c r="K725" s="138"/>
      <c r="L725" s="138"/>
    </row>
    <row r="726" spans="5:12" ht="13.2" x14ac:dyDescent="0.25">
      <c r="E726" s="138"/>
      <c r="F726" s="138"/>
      <c r="G726" s="138"/>
      <c r="H726" s="138"/>
      <c r="I726" s="138"/>
      <c r="J726" s="138"/>
      <c r="K726" s="138"/>
      <c r="L726" s="138"/>
    </row>
    <row r="727" spans="5:12" ht="13.2" x14ac:dyDescent="0.25">
      <c r="E727" s="138"/>
      <c r="F727" s="138"/>
      <c r="G727" s="138"/>
      <c r="H727" s="138"/>
      <c r="I727" s="138"/>
      <c r="J727" s="138"/>
      <c r="K727" s="138"/>
      <c r="L727" s="138"/>
    </row>
    <row r="728" spans="5:12" ht="13.2" x14ac:dyDescent="0.25">
      <c r="E728" s="138"/>
      <c r="F728" s="138"/>
      <c r="G728" s="138"/>
      <c r="H728" s="138"/>
      <c r="I728" s="138"/>
      <c r="J728" s="138"/>
      <c r="K728" s="138"/>
      <c r="L728" s="138"/>
    </row>
    <row r="729" spans="5:12" ht="13.2" x14ac:dyDescent="0.25">
      <c r="E729" s="138"/>
      <c r="F729" s="138"/>
      <c r="G729" s="138"/>
      <c r="H729" s="138"/>
      <c r="I729" s="138"/>
      <c r="J729" s="138"/>
      <c r="K729" s="138"/>
      <c r="L729" s="138"/>
    </row>
    <row r="730" spans="5:12" ht="13.2" x14ac:dyDescent="0.25">
      <c r="E730" s="138"/>
      <c r="F730" s="138"/>
      <c r="G730" s="138"/>
      <c r="H730" s="138"/>
      <c r="I730" s="138"/>
      <c r="J730" s="138"/>
      <c r="K730" s="138"/>
      <c r="L730" s="138"/>
    </row>
    <row r="731" spans="5:12" ht="13.2" x14ac:dyDescent="0.25">
      <c r="E731" s="138"/>
      <c r="F731" s="138"/>
      <c r="G731" s="138"/>
      <c r="H731" s="138"/>
      <c r="I731" s="138"/>
      <c r="J731" s="138"/>
      <c r="K731" s="138"/>
      <c r="L731" s="138"/>
    </row>
    <row r="732" spans="5:12" ht="13.2" x14ac:dyDescent="0.25">
      <c r="E732" s="138"/>
      <c r="F732" s="138"/>
      <c r="G732" s="138"/>
      <c r="H732" s="138"/>
      <c r="I732" s="138"/>
      <c r="J732" s="138"/>
      <c r="K732" s="138"/>
      <c r="L732" s="138"/>
    </row>
    <row r="733" spans="5:12" ht="13.2" x14ac:dyDescent="0.25">
      <c r="E733" s="138"/>
      <c r="F733" s="138"/>
      <c r="G733" s="138"/>
      <c r="H733" s="138"/>
      <c r="I733" s="138"/>
      <c r="J733" s="138"/>
      <c r="K733" s="138"/>
      <c r="L733" s="138"/>
    </row>
    <row r="734" spans="5:12" ht="13.2" x14ac:dyDescent="0.25">
      <c r="E734" s="138"/>
      <c r="F734" s="138"/>
      <c r="G734" s="138"/>
      <c r="H734" s="138"/>
      <c r="I734" s="138"/>
      <c r="J734" s="138"/>
      <c r="K734" s="138"/>
      <c r="L734" s="138"/>
    </row>
    <row r="735" spans="5:12" ht="13.2" x14ac:dyDescent="0.25">
      <c r="E735" s="138"/>
      <c r="F735" s="138"/>
      <c r="G735" s="138"/>
      <c r="H735" s="138"/>
      <c r="I735" s="138"/>
      <c r="J735" s="138"/>
      <c r="K735" s="138"/>
      <c r="L735" s="138"/>
    </row>
    <row r="736" spans="5:12" ht="13.2" x14ac:dyDescent="0.25">
      <c r="E736" s="138"/>
      <c r="F736" s="138"/>
      <c r="G736" s="138"/>
      <c r="H736" s="138"/>
      <c r="I736" s="138"/>
      <c r="J736" s="138"/>
      <c r="K736" s="138"/>
      <c r="L736" s="138"/>
    </row>
    <row r="737" spans="5:12" ht="13.2" x14ac:dyDescent="0.25">
      <c r="E737" s="138"/>
      <c r="F737" s="138"/>
      <c r="G737" s="138"/>
      <c r="H737" s="138"/>
      <c r="I737" s="138"/>
      <c r="J737" s="138"/>
      <c r="K737" s="138"/>
      <c r="L737" s="138"/>
    </row>
    <row r="738" spans="5:12" ht="13.2" x14ac:dyDescent="0.25">
      <c r="E738" s="138"/>
      <c r="F738" s="138"/>
      <c r="G738" s="138"/>
      <c r="H738" s="138"/>
      <c r="I738" s="138"/>
      <c r="J738" s="138"/>
      <c r="K738" s="138"/>
      <c r="L738" s="138"/>
    </row>
    <row r="739" spans="5:12" ht="13.2" x14ac:dyDescent="0.25">
      <c r="E739" s="138"/>
      <c r="F739" s="138"/>
      <c r="G739" s="138"/>
      <c r="H739" s="138"/>
      <c r="I739" s="138"/>
      <c r="J739" s="138"/>
      <c r="K739" s="138"/>
      <c r="L739" s="138"/>
    </row>
    <row r="740" spans="5:12" ht="13.2" x14ac:dyDescent="0.25">
      <c r="E740" s="138"/>
      <c r="F740" s="138"/>
      <c r="G740" s="138"/>
      <c r="H740" s="138"/>
      <c r="I740" s="138"/>
      <c r="J740" s="138"/>
      <c r="K740" s="138"/>
      <c r="L740" s="138"/>
    </row>
    <row r="741" spans="5:12" ht="13.2" x14ac:dyDescent="0.25">
      <c r="E741" s="138"/>
      <c r="F741" s="138"/>
      <c r="G741" s="138"/>
      <c r="H741" s="138"/>
      <c r="I741" s="138"/>
      <c r="J741" s="138"/>
      <c r="K741" s="138"/>
      <c r="L741" s="138"/>
    </row>
    <row r="742" spans="5:12" ht="13.2" x14ac:dyDescent="0.25">
      <c r="E742" s="138"/>
      <c r="F742" s="138"/>
      <c r="G742" s="138"/>
      <c r="H742" s="138"/>
      <c r="I742" s="138"/>
      <c r="J742" s="138"/>
      <c r="K742" s="138"/>
      <c r="L742" s="138"/>
    </row>
    <row r="743" spans="5:12" ht="13.2" x14ac:dyDescent="0.25">
      <c r="E743" s="138"/>
      <c r="F743" s="138"/>
      <c r="G743" s="138"/>
      <c r="H743" s="138"/>
      <c r="I743" s="138"/>
      <c r="J743" s="138"/>
      <c r="K743" s="138"/>
      <c r="L743" s="138"/>
    </row>
    <row r="744" spans="5:12" ht="13.2" x14ac:dyDescent="0.25">
      <c r="E744" s="138"/>
      <c r="F744" s="138"/>
      <c r="G744" s="138"/>
      <c r="H744" s="138"/>
      <c r="I744" s="138"/>
      <c r="J744" s="138"/>
      <c r="K744" s="138"/>
      <c r="L744" s="138"/>
    </row>
    <row r="745" spans="5:12" ht="13.2" x14ac:dyDescent="0.25">
      <c r="E745" s="138"/>
      <c r="F745" s="138"/>
      <c r="G745" s="138"/>
      <c r="H745" s="138"/>
      <c r="I745" s="138"/>
      <c r="J745" s="138"/>
      <c r="K745" s="138"/>
      <c r="L745" s="138"/>
    </row>
    <row r="746" spans="5:12" ht="13.2" x14ac:dyDescent="0.25">
      <c r="E746" s="138"/>
      <c r="F746" s="138"/>
      <c r="G746" s="138"/>
      <c r="H746" s="138"/>
      <c r="I746" s="138"/>
      <c r="J746" s="138"/>
      <c r="K746" s="138"/>
      <c r="L746" s="138"/>
    </row>
    <row r="747" spans="5:12" ht="13.2" x14ac:dyDescent="0.25">
      <c r="E747" s="138"/>
      <c r="F747" s="138"/>
      <c r="G747" s="138"/>
      <c r="H747" s="138"/>
      <c r="I747" s="138"/>
      <c r="J747" s="138"/>
      <c r="K747" s="138"/>
      <c r="L747" s="138"/>
    </row>
    <row r="748" spans="5:12" ht="13.2" x14ac:dyDescent="0.25">
      <c r="E748" s="138"/>
      <c r="F748" s="138"/>
      <c r="G748" s="138"/>
      <c r="H748" s="138"/>
      <c r="I748" s="138"/>
      <c r="J748" s="138"/>
      <c r="K748" s="138"/>
      <c r="L748" s="138"/>
    </row>
    <row r="749" spans="5:12" ht="13.2" x14ac:dyDescent="0.25">
      <c r="E749" s="138"/>
      <c r="F749" s="138"/>
      <c r="G749" s="138"/>
      <c r="H749" s="138"/>
      <c r="I749" s="138"/>
      <c r="J749" s="138"/>
      <c r="K749" s="138"/>
      <c r="L749" s="138"/>
    </row>
    <row r="750" spans="5:12" ht="13.2" x14ac:dyDescent="0.25">
      <c r="E750" s="138"/>
      <c r="F750" s="138"/>
      <c r="G750" s="138"/>
      <c r="H750" s="138"/>
      <c r="I750" s="138"/>
      <c r="J750" s="138"/>
      <c r="K750" s="138"/>
      <c r="L750" s="138"/>
    </row>
    <row r="751" spans="5:12" ht="13.2" x14ac:dyDescent="0.25">
      <c r="E751" s="138"/>
      <c r="F751" s="138"/>
      <c r="G751" s="138"/>
      <c r="H751" s="138"/>
      <c r="I751" s="138"/>
      <c r="J751" s="138"/>
      <c r="K751" s="138"/>
      <c r="L751" s="138"/>
    </row>
    <row r="752" spans="5:12" ht="13.2" x14ac:dyDescent="0.25">
      <c r="E752" s="138"/>
      <c r="F752" s="138"/>
      <c r="G752" s="138"/>
      <c r="H752" s="138"/>
      <c r="I752" s="138"/>
      <c r="J752" s="138"/>
      <c r="K752" s="138"/>
      <c r="L752" s="138"/>
    </row>
    <row r="753" spans="5:12" ht="13.2" x14ac:dyDescent="0.25">
      <c r="E753" s="138"/>
      <c r="F753" s="138"/>
      <c r="G753" s="138"/>
      <c r="H753" s="138"/>
      <c r="I753" s="138"/>
      <c r="J753" s="138"/>
      <c r="K753" s="138"/>
      <c r="L753" s="138"/>
    </row>
    <row r="754" spans="5:12" ht="13.2" x14ac:dyDescent="0.25">
      <c r="E754" s="138"/>
      <c r="F754" s="138"/>
      <c r="G754" s="138"/>
      <c r="H754" s="138"/>
      <c r="I754" s="138"/>
      <c r="J754" s="138"/>
      <c r="K754" s="138"/>
      <c r="L754" s="138"/>
    </row>
    <row r="755" spans="5:12" ht="13.2" x14ac:dyDescent="0.25">
      <c r="E755" s="138"/>
      <c r="F755" s="138"/>
      <c r="G755" s="138"/>
      <c r="H755" s="138"/>
      <c r="I755" s="138"/>
      <c r="J755" s="138"/>
      <c r="K755" s="138"/>
      <c r="L755" s="138"/>
    </row>
    <row r="756" spans="5:12" ht="13.2" x14ac:dyDescent="0.25">
      <c r="E756" s="138"/>
      <c r="F756" s="138"/>
      <c r="G756" s="138"/>
      <c r="H756" s="138"/>
      <c r="I756" s="138"/>
      <c r="J756" s="138"/>
      <c r="K756" s="138"/>
      <c r="L756" s="138"/>
    </row>
    <row r="757" spans="5:12" ht="13.2" x14ac:dyDescent="0.25">
      <c r="E757" s="138"/>
      <c r="F757" s="138"/>
      <c r="G757" s="138"/>
      <c r="H757" s="138"/>
      <c r="I757" s="138"/>
      <c r="J757" s="138"/>
      <c r="K757" s="138"/>
      <c r="L757" s="138"/>
    </row>
    <row r="758" spans="5:12" ht="13.2" x14ac:dyDescent="0.25">
      <c r="E758" s="138"/>
      <c r="F758" s="138"/>
      <c r="G758" s="138"/>
      <c r="H758" s="138"/>
      <c r="I758" s="138"/>
      <c r="J758" s="138"/>
      <c r="K758" s="138"/>
      <c r="L758" s="138"/>
    </row>
    <row r="759" spans="5:12" ht="13.2" x14ac:dyDescent="0.25">
      <c r="E759" s="138"/>
      <c r="F759" s="138"/>
      <c r="G759" s="138"/>
      <c r="H759" s="138"/>
      <c r="I759" s="138"/>
      <c r="J759" s="138"/>
      <c r="K759" s="138"/>
      <c r="L759" s="138"/>
    </row>
    <row r="760" spans="5:12" ht="13.2" x14ac:dyDescent="0.25">
      <c r="E760" s="138"/>
      <c r="F760" s="138"/>
      <c r="G760" s="138"/>
      <c r="H760" s="138"/>
      <c r="I760" s="138"/>
      <c r="J760" s="138"/>
      <c r="K760" s="138"/>
      <c r="L760" s="138"/>
    </row>
    <row r="761" spans="5:12" ht="13.2" x14ac:dyDescent="0.25">
      <c r="E761" s="138"/>
      <c r="F761" s="138"/>
      <c r="G761" s="138"/>
      <c r="H761" s="138"/>
      <c r="I761" s="138"/>
      <c r="J761" s="138"/>
      <c r="K761" s="138"/>
      <c r="L761" s="138"/>
    </row>
    <row r="762" spans="5:12" ht="13.2" x14ac:dyDescent="0.25">
      <c r="E762" s="138"/>
      <c r="F762" s="138"/>
      <c r="G762" s="138"/>
      <c r="H762" s="138"/>
      <c r="I762" s="138"/>
      <c r="J762" s="138"/>
      <c r="K762" s="138"/>
      <c r="L762" s="138"/>
    </row>
    <row r="763" spans="5:12" ht="13.2" x14ac:dyDescent="0.25">
      <c r="E763" s="138"/>
      <c r="F763" s="138"/>
      <c r="G763" s="138"/>
      <c r="H763" s="138"/>
      <c r="I763" s="138"/>
      <c r="J763" s="138"/>
      <c r="K763" s="138"/>
      <c r="L763" s="138"/>
    </row>
    <row r="764" spans="5:12" ht="13.2" x14ac:dyDescent="0.25">
      <c r="E764" s="138"/>
      <c r="F764" s="138"/>
      <c r="G764" s="138"/>
      <c r="H764" s="138"/>
      <c r="I764" s="138"/>
      <c r="J764" s="138"/>
      <c r="K764" s="138"/>
      <c r="L764" s="138"/>
    </row>
    <row r="765" spans="5:12" ht="13.2" x14ac:dyDescent="0.25">
      <c r="E765" s="138"/>
      <c r="F765" s="138"/>
      <c r="G765" s="138"/>
      <c r="H765" s="138"/>
      <c r="I765" s="138"/>
      <c r="J765" s="138"/>
      <c r="K765" s="138"/>
      <c r="L765" s="138"/>
    </row>
    <row r="766" spans="5:12" ht="13.2" x14ac:dyDescent="0.25">
      <c r="E766" s="138"/>
      <c r="F766" s="138"/>
      <c r="G766" s="138"/>
      <c r="H766" s="138"/>
      <c r="I766" s="138"/>
      <c r="J766" s="138"/>
      <c r="K766" s="138"/>
      <c r="L766" s="138"/>
    </row>
    <row r="767" spans="5:12" ht="13.2" x14ac:dyDescent="0.25">
      <c r="E767" s="138"/>
      <c r="F767" s="138"/>
      <c r="G767" s="138"/>
      <c r="H767" s="138"/>
      <c r="I767" s="138"/>
      <c r="J767" s="138"/>
      <c r="K767" s="138"/>
      <c r="L767" s="138"/>
    </row>
    <row r="768" spans="5:12" ht="13.2" x14ac:dyDescent="0.25">
      <c r="E768" s="138"/>
      <c r="F768" s="138"/>
      <c r="G768" s="138"/>
      <c r="H768" s="138"/>
      <c r="I768" s="138"/>
      <c r="J768" s="138"/>
      <c r="K768" s="138"/>
      <c r="L768" s="138"/>
    </row>
    <row r="769" spans="5:12" ht="13.2" x14ac:dyDescent="0.25">
      <c r="E769" s="138"/>
      <c r="F769" s="138"/>
      <c r="G769" s="138"/>
      <c r="H769" s="138"/>
      <c r="I769" s="138"/>
      <c r="J769" s="138"/>
      <c r="K769" s="138"/>
      <c r="L769" s="138"/>
    </row>
    <row r="770" spans="5:12" ht="13.2" x14ac:dyDescent="0.25">
      <c r="E770" s="138"/>
      <c r="F770" s="138"/>
      <c r="G770" s="138"/>
      <c r="H770" s="138"/>
      <c r="I770" s="138"/>
      <c r="J770" s="138"/>
      <c r="K770" s="138"/>
      <c r="L770" s="138"/>
    </row>
    <row r="771" spans="5:12" ht="13.2" x14ac:dyDescent="0.25">
      <c r="E771" s="138"/>
      <c r="F771" s="138"/>
      <c r="G771" s="138"/>
      <c r="H771" s="138"/>
      <c r="I771" s="138"/>
      <c r="J771" s="138"/>
      <c r="K771" s="138"/>
      <c r="L771" s="138"/>
    </row>
    <row r="772" spans="5:12" ht="13.2" x14ac:dyDescent="0.25">
      <c r="E772" s="138"/>
      <c r="F772" s="138"/>
      <c r="G772" s="138"/>
      <c r="H772" s="138"/>
      <c r="I772" s="138"/>
      <c r="J772" s="138"/>
      <c r="K772" s="138"/>
      <c r="L772" s="138"/>
    </row>
    <row r="773" spans="5:12" ht="13.2" x14ac:dyDescent="0.25">
      <c r="E773" s="138"/>
      <c r="F773" s="138"/>
      <c r="G773" s="138"/>
      <c r="H773" s="138"/>
      <c r="I773" s="138"/>
      <c r="J773" s="138"/>
      <c r="K773" s="138"/>
      <c r="L773" s="138"/>
    </row>
    <row r="774" spans="5:12" ht="13.2" x14ac:dyDescent="0.25">
      <c r="E774" s="138"/>
      <c r="F774" s="138"/>
      <c r="G774" s="138"/>
      <c r="H774" s="138"/>
      <c r="I774" s="138"/>
      <c r="J774" s="138"/>
      <c r="K774" s="138"/>
      <c r="L774" s="138"/>
    </row>
    <row r="775" spans="5:12" ht="13.2" x14ac:dyDescent="0.25">
      <c r="E775" s="138"/>
      <c r="F775" s="138"/>
      <c r="G775" s="138"/>
      <c r="H775" s="138"/>
      <c r="I775" s="138"/>
      <c r="J775" s="138"/>
      <c r="K775" s="138"/>
      <c r="L775" s="138"/>
    </row>
    <row r="776" spans="5:12" ht="13.2" x14ac:dyDescent="0.25">
      <c r="E776" s="138"/>
      <c r="F776" s="138"/>
      <c r="G776" s="138"/>
      <c r="H776" s="138"/>
      <c r="I776" s="138"/>
      <c r="J776" s="138"/>
      <c r="K776" s="138"/>
      <c r="L776" s="138"/>
    </row>
    <row r="777" spans="5:12" ht="13.2" x14ac:dyDescent="0.25">
      <c r="E777" s="138"/>
      <c r="F777" s="138"/>
      <c r="G777" s="138"/>
      <c r="H777" s="138"/>
      <c r="I777" s="138"/>
      <c r="J777" s="138"/>
      <c r="K777" s="138"/>
      <c r="L777" s="138"/>
    </row>
    <row r="778" spans="5:12" ht="13.2" x14ac:dyDescent="0.25">
      <c r="E778" s="138"/>
      <c r="F778" s="138"/>
      <c r="G778" s="138"/>
      <c r="H778" s="138"/>
      <c r="I778" s="138"/>
      <c r="J778" s="138"/>
      <c r="K778" s="138"/>
      <c r="L778" s="138"/>
    </row>
    <row r="779" spans="5:12" ht="13.2" x14ac:dyDescent="0.25">
      <c r="E779" s="138"/>
      <c r="F779" s="138"/>
      <c r="G779" s="138"/>
      <c r="H779" s="138"/>
      <c r="I779" s="138"/>
      <c r="J779" s="138"/>
      <c r="K779" s="138"/>
      <c r="L779" s="138"/>
    </row>
    <row r="780" spans="5:12" ht="13.2" x14ac:dyDescent="0.25">
      <c r="E780" s="138"/>
      <c r="F780" s="138"/>
      <c r="G780" s="138"/>
      <c r="H780" s="138"/>
      <c r="I780" s="138"/>
      <c r="J780" s="138"/>
      <c r="K780" s="138"/>
      <c r="L780" s="138"/>
    </row>
    <row r="781" spans="5:12" ht="13.2" x14ac:dyDescent="0.25">
      <c r="E781" s="138"/>
      <c r="F781" s="138"/>
      <c r="G781" s="138"/>
      <c r="H781" s="138"/>
      <c r="I781" s="138"/>
      <c r="J781" s="138"/>
      <c r="K781" s="138"/>
      <c r="L781" s="138"/>
    </row>
    <row r="782" spans="5:12" ht="13.2" x14ac:dyDescent="0.25">
      <c r="E782" s="138"/>
      <c r="F782" s="138"/>
      <c r="G782" s="138"/>
      <c r="H782" s="138"/>
      <c r="I782" s="138"/>
      <c r="J782" s="138"/>
      <c r="K782" s="138"/>
      <c r="L782" s="138"/>
    </row>
    <row r="783" spans="5:12" ht="13.2" x14ac:dyDescent="0.25">
      <c r="E783" s="138"/>
      <c r="F783" s="138"/>
      <c r="G783" s="138"/>
      <c r="H783" s="138"/>
      <c r="I783" s="138"/>
      <c r="J783" s="138"/>
      <c r="K783" s="138"/>
      <c r="L783" s="138"/>
    </row>
    <row r="784" spans="5:12" ht="13.2" x14ac:dyDescent="0.25">
      <c r="E784" s="138"/>
      <c r="F784" s="138"/>
      <c r="G784" s="138"/>
      <c r="H784" s="138"/>
      <c r="I784" s="138"/>
      <c r="J784" s="138"/>
      <c r="K784" s="138"/>
      <c r="L784" s="138"/>
    </row>
    <row r="785" spans="5:12" ht="13.2" x14ac:dyDescent="0.25">
      <c r="E785" s="138"/>
      <c r="F785" s="138"/>
      <c r="G785" s="138"/>
      <c r="H785" s="138"/>
      <c r="I785" s="138"/>
      <c r="J785" s="138"/>
      <c r="K785" s="138"/>
      <c r="L785" s="138"/>
    </row>
    <row r="786" spans="5:12" ht="13.2" x14ac:dyDescent="0.25">
      <c r="E786" s="138"/>
      <c r="F786" s="138"/>
      <c r="G786" s="138"/>
      <c r="H786" s="138"/>
      <c r="I786" s="138"/>
      <c r="J786" s="138"/>
      <c r="K786" s="138"/>
      <c r="L786" s="138"/>
    </row>
    <row r="787" spans="5:12" ht="13.2" x14ac:dyDescent="0.25">
      <c r="E787" s="138"/>
      <c r="F787" s="138"/>
      <c r="G787" s="138"/>
      <c r="H787" s="138"/>
      <c r="I787" s="138"/>
      <c r="J787" s="138"/>
      <c r="K787" s="138"/>
      <c r="L787" s="138"/>
    </row>
    <row r="788" spans="5:12" ht="13.2" x14ac:dyDescent="0.25">
      <c r="E788" s="138"/>
      <c r="F788" s="138"/>
      <c r="G788" s="138"/>
      <c r="H788" s="138"/>
      <c r="I788" s="138"/>
      <c r="J788" s="138"/>
      <c r="K788" s="138"/>
      <c r="L788" s="138"/>
    </row>
    <row r="789" spans="5:12" ht="13.2" x14ac:dyDescent="0.25">
      <c r="E789" s="138"/>
      <c r="F789" s="138"/>
      <c r="G789" s="138"/>
      <c r="H789" s="138"/>
      <c r="I789" s="138"/>
      <c r="J789" s="138"/>
      <c r="K789" s="138"/>
      <c r="L789" s="138"/>
    </row>
    <row r="790" spans="5:12" ht="13.2" x14ac:dyDescent="0.25">
      <c r="E790" s="138"/>
      <c r="F790" s="138"/>
      <c r="G790" s="138"/>
      <c r="H790" s="138"/>
      <c r="I790" s="138"/>
      <c r="J790" s="138"/>
      <c r="K790" s="138"/>
      <c r="L790" s="138"/>
    </row>
    <row r="791" spans="5:12" ht="13.2" x14ac:dyDescent="0.25">
      <c r="E791" s="138"/>
      <c r="F791" s="138"/>
      <c r="G791" s="138"/>
      <c r="H791" s="138"/>
      <c r="I791" s="138"/>
      <c r="J791" s="138"/>
      <c r="K791" s="138"/>
      <c r="L791" s="138"/>
    </row>
    <row r="792" spans="5:12" ht="13.2" x14ac:dyDescent="0.25">
      <c r="E792" s="138"/>
      <c r="F792" s="138"/>
      <c r="G792" s="138"/>
      <c r="H792" s="138"/>
      <c r="I792" s="138"/>
      <c r="J792" s="138"/>
      <c r="K792" s="138"/>
      <c r="L792" s="138"/>
    </row>
    <row r="793" spans="5:12" ht="13.2" x14ac:dyDescent="0.25">
      <c r="E793" s="138"/>
      <c r="F793" s="138"/>
      <c r="G793" s="138"/>
      <c r="H793" s="138"/>
      <c r="I793" s="138"/>
      <c r="J793" s="138"/>
      <c r="K793" s="138"/>
      <c r="L793" s="138"/>
    </row>
    <row r="794" spans="5:12" ht="13.2" x14ac:dyDescent="0.25">
      <c r="E794" s="138"/>
      <c r="F794" s="138"/>
      <c r="G794" s="138"/>
      <c r="H794" s="138"/>
      <c r="I794" s="138"/>
      <c r="J794" s="138"/>
      <c r="K794" s="138"/>
      <c r="L794" s="138"/>
    </row>
    <row r="795" spans="5:12" ht="13.2" x14ac:dyDescent="0.25">
      <c r="E795" s="138"/>
      <c r="F795" s="138"/>
      <c r="G795" s="138"/>
      <c r="H795" s="138"/>
      <c r="I795" s="138"/>
      <c r="J795" s="138"/>
      <c r="K795" s="138"/>
      <c r="L795" s="138"/>
    </row>
    <row r="796" spans="5:12" ht="13.2" x14ac:dyDescent="0.25">
      <c r="E796" s="138"/>
      <c r="F796" s="138"/>
      <c r="G796" s="138"/>
      <c r="H796" s="138"/>
      <c r="I796" s="138"/>
      <c r="J796" s="138"/>
      <c r="K796" s="138"/>
      <c r="L796" s="138"/>
    </row>
    <row r="797" spans="5:12" ht="13.2" x14ac:dyDescent="0.25">
      <c r="E797" s="138"/>
      <c r="F797" s="138"/>
      <c r="G797" s="138"/>
      <c r="H797" s="138"/>
      <c r="I797" s="138"/>
      <c r="J797" s="138"/>
      <c r="K797" s="138"/>
      <c r="L797" s="138"/>
    </row>
    <row r="798" spans="5:12" ht="13.2" x14ac:dyDescent="0.25">
      <c r="E798" s="138"/>
      <c r="F798" s="138"/>
      <c r="G798" s="138"/>
      <c r="H798" s="138"/>
      <c r="I798" s="138"/>
      <c r="J798" s="138"/>
      <c r="K798" s="138"/>
      <c r="L798" s="138"/>
    </row>
    <row r="799" spans="5:12" ht="13.2" x14ac:dyDescent="0.25">
      <c r="E799" s="138"/>
      <c r="F799" s="138"/>
      <c r="G799" s="138"/>
      <c r="H799" s="138"/>
      <c r="I799" s="138"/>
      <c r="J799" s="138"/>
      <c r="K799" s="138"/>
      <c r="L799" s="138"/>
    </row>
    <row r="800" spans="5:12" ht="13.2" x14ac:dyDescent="0.25">
      <c r="E800" s="138"/>
      <c r="F800" s="138"/>
      <c r="G800" s="138"/>
      <c r="H800" s="138"/>
      <c r="I800" s="138"/>
      <c r="J800" s="138"/>
      <c r="K800" s="138"/>
      <c r="L800" s="138"/>
    </row>
    <row r="801" spans="5:12" ht="13.2" x14ac:dyDescent="0.25">
      <c r="E801" s="138"/>
      <c r="F801" s="138"/>
      <c r="G801" s="138"/>
      <c r="H801" s="138"/>
      <c r="I801" s="138"/>
      <c r="J801" s="138"/>
      <c r="K801" s="138"/>
      <c r="L801" s="138"/>
    </row>
    <row r="802" spans="5:12" ht="13.2" x14ac:dyDescent="0.25">
      <c r="E802" s="138"/>
      <c r="F802" s="138"/>
      <c r="G802" s="138"/>
      <c r="H802" s="138"/>
      <c r="I802" s="138"/>
      <c r="J802" s="138"/>
      <c r="K802" s="138"/>
      <c r="L802" s="138"/>
    </row>
    <row r="803" spans="5:12" ht="13.2" x14ac:dyDescent="0.25">
      <c r="E803" s="138"/>
      <c r="F803" s="138"/>
      <c r="G803" s="138"/>
      <c r="H803" s="138"/>
      <c r="I803" s="138"/>
      <c r="J803" s="138"/>
      <c r="K803" s="138"/>
      <c r="L803" s="138"/>
    </row>
    <row r="804" spans="5:12" ht="13.2" x14ac:dyDescent="0.25">
      <c r="E804" s="138"/>
      <c r="F804" s="138"/>
      <c r="G804" s="138"/>
      <c r="H804" s="138"/>
      <c r="I804" s="138"/>
      <c r="J804" s="138"/>
      <c r="K804" s="138"/>
      <c r="L804" s="138"/>
    </row>
    <row r="805" spans="5:12" ht="13.2" x14ac:dyDescent="0.25">
      <c r="E805" s="138"/>
      <c r="F805" s="138"/>
      <c r="G805" s="138"/>
      <c r="H805" s="138"/>
      <c r="I805" s="138"/>
      <c r="J805" s="138"/>
      <c r="K805" s="138"/>
      <c r="L805" s="138"/>
    </row>
    <row r="806" spans="5:12" ht="13.2" x14ac:dyDescent="0.25">
      <c r="E806" s="138"/>
      <c r="F806" s="138"/>
      <c r="G806" s="138"/>
      <c r="H806" s="138"/>
      <c r="I806" s="138"/>
      <c r="J806" s="138"/>
      <c r="K806" s="138"/>
      <c r="L806" s="138"/>
    </row>
    <row r="807" spans="5:12" ht="13.2" x14ac:dyDescent="0.25">
      <c r="E807" s="138"/>
      <c r="F807" s="138"/>
      <c r="G807" s="138"/>
      <c r="H807" s="138"/>
      <c r="I807" s="138"/>
      <c r="J807" s="138"/>
      <c r="K807" s="138"/>
      <c r="L807" s="138"/>
    </row>
    <row r="808" spans="5:12" ht="13.2" x14ac:dyDescent="0.25">
      <c r="E808" s="138"/>
      <c r="F808" s="138"/>
      <c r="G808" s="138"/>
      <c r="H808" s="138"/>
      <c r="I808" s="138"/>
      <c r="J808" s="138"/>
      <c r="K808" s="138"/>
      <c r="L808" s="138"/>
    </row>
    <row r="809" spans="5:12" ht="13.2" x14ac:dyDescent="0.25">
      <c r="E809" s="138"/>
      <c r="F809" s="138"/>
      <c r="G809" s="138"/>
      <c r="H809" s="138"/>
      <c r="I809" s="138"/>
      <c r="J809" s="138"/>
      <c r="K809" s="138"/>
      <c r="L809" s="138"/>
    </row>
    <row r="810" spans="5:12" ht="13.2" x14ac:dyDescent="0.25">
      <c r="E810" s="138"/>
      <c r="F810" s="138"/>
      <c r="G810" s="138"/>
      <c r="H810" s="138"/>
      <c r="I810" s="138"/>
      <c r="J810" s="138"/>
      <c r="K810" s="138"/>
      <c r="L810" s="138"/>
    </row>
    <row r="811" spans="5:12" ht="13.2" x14ac:dyDescent="0.25">
      <c r="E811" s="138"/>
      <c r="F811" s="138"/>
      <c r="G811" s="138"/>
      <c r="H811" s="138"/>
      <c r="I811" s="138"/>
      <c r="J811" s="138"/>
      <c r="K811" s="138"/>
      <c r="L811" s="138"/>
    </row>
    <row r="812" spans="5:12" ht="13.2" x14ac:dyDescent="0.25">
      <c r="E812" s="138"/>
      <c r="F812" s="138"/>
      <c r="G812" s="138"/>
      <c r="H812" s="138"/>
      <c r="I812" s="138"/>
      <c r="J812" s="138"/>
      <c r="K812" s="138"/>
      <c r="L812" s="138"/>
    </row>
    <row r="813" spans="5:12" ht="13.2" x14ac:dyDescent="0.25">
      <c r="E813" s="138"/>
      <c r="F813" s="138"/>
      <c r="G813" s="138"/>
      <c r="H813" s="138"/>
      <c r="I813" s="138"/>
      <c r="J813" s="138"/>
      <c r="K813" s="138"/>
      <c r="L813" s="138"/>
    </row>
    <row r="814" spans="5:12" ht="13.2" x14ac:dyDescent="0.25">
      <c r="E814" s="138"/>
      <c r="F814" s="138"/>
      <c r="G814" s="138"/>
      <c r="H814" s="138"/>
      <c r="I814" s="138"/>
      <c r="J814" s="138"/>
      <c r="K814" s="138"/>
      <c r="L814" s="138"/>
    </row>
    <row r="815" spans="5:12" ht="13.2" x14ac:dyDescent="0.25">
      <c r="E815" s="138"/>
      <c r="F815" s="138"/>
      <c r="G815" s="138"/>
      <c r="H815" s="138"/>
      <c r="I815" s="138"/>
      <c r="J815" s="138"/>
      <c r="K815" s="138"/>
      <c r="L815" s="138"/>
    </row>
    <row r="816" spans="5:12" ht="13.2" x14ac:dyDescent="0.25">
      <c r="E816" s="138"/>
      <c r="F816" s="138"/>
      <c r="G816" s="138"/>
      <c r="H816" s="138"/>
      <c r="I816" s="138"/>
      <c r="J816" s="138"/>
      <c r="K816" s="138"/>
      <c r="L816" s="138"/>
    </row>
    <row r="817" spans="5:12" ht="13.2" x14ac:dyDescent="0.25">
      <c r="E817" s="138"/>
      <c r="F817" s="138"/>
      <c r="G817" s="138"/>
      <c r="H817" s="138"/>
      <c r="I817" s="138"/>
      <c r="J817" s="138"/>
      <c r="K817" s="138"/>
      <c r="L817" s="138"/>
    </row>
    <row r="818" spans="5:12" ht="13.2" x14ac:dyDescent="0.25">
      <c r="E818" s="138"/>
      <c r="F818" s="138"/>
      <c r="G818" s="138"/>
      <c r="H818" s="138"/>
      <c r="I818" s="138"/>
      <c r="J818" s="138"/>
      <c r="K818" s="138"/>
      <c r="L818" s="138"/>
    </row>
    <row r="819" spans="5:12" ht="13.2" x14ac:dyDescent="0.25">
      <c r="E819" s="138"/>
      <c r="F819" s="138"/>
      <c r="G819" s="138"/>
      <c r="H819" s="138"/>
      <c r="I819" s="138"/>
      <c r="J819" s="138"/>
      <c r="K819" s="138"/>
      <c r="L819" s="138"/>
    </row>
    <row r="820" spans="5:12" ht="13.2" x14ac:dyDescent="0.25">
      <c r="E820" s="138"/>
      <c r="F820" s="138"/>
      <c r="G820" s="138"/>
      <c r="H820" s="138"/>
      <c r="I820" s="138"/>
      <c r="J820" s="138"/>
      <c r="K820" s="138"/>
      <c r="L820" s="138"/>
    </row>
    <row r="821" spans="5:12" ht="13.2" x14ac:dyDescent="0.25">
      <c r="E821" s="138"/>
      <c r="F821" s="138"/>
      <c r="G821" s="138"/>
      <c r="H821" s="138"/>
      <c r="I821" s="138"/>
      <c r="J821" s="138"/>
      <c r="K821" s="138"/>
      <c r="L821" s="138"/>
    </row>
    <row r="822" spans="5:12" ht="13.2" x14ac:dyDescent="0.25">
      <c r="E822" s="138"/>
      <c r="F822" s="138"/>
      <c r="G822" s="138"/>
      <c r="H822" s="138"/>
      <c r="I822" s="138"/>
      <c r="J822" s="138"/>
      <c r="K822" s="138"/>
      <c r="L822" s="138"/>
    </row>
    <row r="823" spans="5:12" ht="13.2" x14ac:dyDescent="0.25">
      <c r="E823" s="138"/>
      <c r="F823" s="138"/>
      <c r="G823" s="138"/>
      <c r="H823" s="138"/>
      <c r="I823" s="138"/>
      <c r="J823" s="138"/>
      <c r="K823" s="138"/>
      <c r="L823" s="138"/>
    </row>
    <row r="824" spans="5:12" ht="13.2" x14ac:dyDescent="0.25">
      <c r="E824" s="138"/>
      <c r="F824" s="138"/>
      <c r="G824" s="138"/>
      <c r="H824" s="138"/>
      <c r="I824" s="138"/>
      <c r="J824" s="138"/>
      <c r="K824" s="138"/>
      <c r="L824" s="138"/>
    </row>
    <row r="825" spans="5:12" ht="13.2" x14ac:dyDescent="0.25">
      <c r="E825" s="138"/>
      <c r="F825" s="138"/>
      <c r="G825" s="138"/>
      <c r="H825" s="138"/>
      <c r="I825" s="138"/>
      <c r="J825" s="138"/>
      <c r="K825" s="138"/>
      <c r="L825" s="138"/>
    </row>
    <row r="826" spans="5:12" ht="13.2" x14ac:dyDescent="0.25">
      <c r="E826" s="138"/>
      <c r="F826" s="138"/>
      <c r="G826" s="138"/>
      <c r="H826" s="138"/>
      <c r="I826" s="138"/>
      <c r="J826" s="138"/>
      <c r="K826" s="138"/>
      <c r="L826" s="138"/>
    </row>
    <row r="827" spans="5:12" ht="13.2" x14ac:dyDescent="0.25">
      <c r="E827" s="138"/>
      <c r="F827" s="138"/>
      <c r="G827" s="138"/>
      <c r="H827" s="138"/>
      <c r="I827" s="138"/>
      <c r="J827" s="138"/>
      <c r="K827" s="138"/>
      <c r="L827" s="138"/>
    </row>
    <row r="828" spans="5:12" ht="13.2" x14ac:dyDescent="0.25">
      <c r="E828" s="138"/>
      <c r="F828" s="138"/>
      <c r="G828" s="138"/>
      <c r="H828" s="138"/>
      <c r="I828" s="138"/>
      <c r="J828" s="138"/>
      <c r="K828" s="138"/>
      <c r="L828" s="138"/>
    </row>
    <row r="829" spans="5:12" ht="13.2" x14ac:dyDescent="0.25">
      <c r="E829" s="138"/>
      <c r="F829" s="138"/>
      <c r="G829" s="138"/>
      <c r="H829" s="138"/>
      <c r="I829" s="138"/>
      <c r="J829" s="138"/>
      <c r="K829" s="138"/>
      <c r="L829" s="138"/>
    </row>
    <row r="830" spans="5:12" ht="13.2" x14ac:dyDescent="0.25">
      <c r="E830" s="138"/>
      <c r="F830" s="138"/>
      <c r="G830" s="138"/>
      <c r="H830" s="138"/>
      <c r="I830" s="138"/>
      <c r="J830" s="138"/>
      <c r="K830" s="138"/>
      <c r="L830" s="138"/>
    </row>
    <row r="831" spans="5:12" ht="13.2" x14ac:dyDescent="0.25">
      <c r="E831" s="138"/>
      <c r="F831" s="138"/>
      <c r="G831" s="138"/>
      <c r="H831" s="138"/>
      <c r="I831" s="138"/>
      <c r="J831" s="138"/>
      <c r="K831" s="138"/>
      <c r="L831" s="138"/>
    </row>
    <row r="832" spans="5:12" ht="13.2" x14ac:dyDescent="0.25">
      <c r="E832" s="138"/>
      <c r="F832" s="138"/>
      <c r="G832" s="138"/>
      <c r="H832" s="138"/>
      <c r="I832" s="138"/>
      <c r="J832" s="138"/>
      <c r="K832" s="138"/>
      <c r="L832" s="138"/>
    </row>
    <row r="833" spans="5:12" ht="13.2" x14ac:dyDescent="0.25">
      <c r="E833" s="138"/>
      <c r="F833" s="138"/>
      <c r="G833" s="138"/>
      <c r="H833" s="138"/>
      <c r="I833" s="138"/>
      <c r="J833" s="138"/>
      <c r="K833" s="138"/>
      <c r="L833" s="138"/>
    </row>
    <row r="834" spans="5:12" ht="13.2" x14ac:dyDescent="0.25">
      <c r="E834" s="138"/>
      <c r="F834" s="138"/>
      <c r="G834" s="138"/>
      <c r="H834" s="138"/>
      <c r="I834" s="138"/>
      <c r="J834" s="138"/>
      <c r="K834" s="138"/>
      <c r="L834" s="138"/>
    </row>
    <row r="835" spans="5:12" ht="13.2" x14ac:dyDescent="0.25">
      <c r="E835" s="138"/>
      <c r="F835" s="138"/>
      <c r="G835" s="138"/>
      <c r="H835" s="138"/>
      <c r="I835" s="138"/>
      <c r="J835" s="138"/>
      <c r="K835" s="138"/>
      <c r="L835" s="138"/>
    </row>
    <row r="836" spans="5:12" ht="13.2" x14ac:dyDescent="0.25">
      <c r="E836" s="138"/>
      <c r="F836" s="138"/>
      <c r="G836" s="138"/>
      <c r="H836" s="138"/>
      <c r="I836" s="138"/>
      <c r="J836" s="138"/>
      <c r="K836" s="138"/>
      <c r="L836" s="138"/>
    </row>
    <row r="837" spans="5:12" ht="13.2" x14ac:dyDescent="0.25">
      <c r="E837" s="138"/>
      <c r="F837" s="138"/>
      <c r="G837" s="138"/>
      <c r="H837" s="138"/>
      <c r="I837" s="138"/>
      <c r="J837" s="138"/>
      <c r="K837" s="138"/>
      <c r="L837" s="138"/>
    </row>
    <row r="838" spans="5:12" ht="13.2" x14ac:dyDescent="0.25">
      <c r="E838" s="138"/>
      <c r="F838" s="138"/>
      <c r="G838" s="138"/>
      <c r="H838" s="138"/>
      <c r="I838" s="138"/>
      <c r="J838" s="138"/>
      <c r="K838" s="138"/>
      <c r="L838" s="138"/>
    </row>
    <row r="839" spans="5:12" ht="13.2" x14ac:dyDescent="0.25">
      <c r="E839" s="138"/>
      <c r="F839" s="138"/>
      <c r="G839" s="138"/>
      <c r="H839" s="138"/>
      <c r="I839" s="138"/>
      <c r="J839" s="138"/>
      <c r="K839" s="138"/>
      <c r="L839" s="138"/>
    </row>
    <row r="840" spans="5:12" ht="13.2" x14ac:dyDescent="0.25">
      <c r="E840" s="138"/>
      <c r="F840" s="138"/>
      <c r="G840" s="138"/>
      <c r="H840" s="138"/>
      <c r="I840" s="138"/>
      <c r="J840" s="138"/>
      <c r="K840" s="138"/>
      <c r="L840" s="138"/>
    </row>
    <row r="841" spans="5:12" ht="13.2" x14ac:dyDescent="0.25">
      <c r="E841" s="138"/>
      <c r="F841" s="138"/>
      <c r="G841" s="138"/>
      <c r="H841" s="138"/>
      <c r="I841" s="138"/>
      <c r="J841" s="138"/>
      <c r="K841" s="138"/>
      <c r="L841" s="138"/>
    </row>
    <row r="842" spans="5:12" ht="13.2" x14ac:dyDescent="0.25">
      <c r="E842" s="138"/>
      <c r="F842" s="138"/>
      <c r="G842" s="138"/>
      <c r="H842" s="138"/>
      <c r="I842" s="138"/>
      <c r="J842" s="138"/>
      <c r="K842" s="138"/>
      <c r="L842" s="138"/>
    </row>
    <row r="843" spans="5:12" ht="13.2" x14ac:dyDescent="0.25">
      <c r="E843" s="138"/>
      <c r="F843" s="138"/>
      <c r="G843" s="138"/>
      <c r="H843" s="138"/>
      <c r="I843" s="138"/>
      <c r="J843" s="138"/>
      <c r="K843" s="138"/>
      <c r="L843" s="138"/>
    </row>
    <row r="844" spans="5:12" ht="13.2" x14ac:dyDescent="0.25">
      <c r="E844" s="138"/>
      <c r="F844" s="138"/>
      <c r="G844" s="138"/>
      <c r="H844" s="138"/>
      <c r="I844" s="138"/>
      <c r="J844" s="138"/>
      <c r="K844" s="138"/>
      <c r="L844" s="138"/>
    </row>
    <row r="845" spans="5:12" ht="13.2" x14ac:dyDescent="0.25">
      <c r="E845" s="138"/>
      <c r="F845" s="138"/>
      <c r="G845" s="138"/>
      <c r="H845" s="138"/>
      <c r="I845" s="138"/>
      <c r="J845" s="138"/>
      <c r="K845" s="138"/>
      <c r="L845" s="138"/>
    </row>
    <row r="846" spans="5:12" ht="13.2" x14ac:dyDescent="0.25">
      <c r="E846" s="138"/>
      <c r="F846" s="138"/>
      <c r="G846" s="138"/>
      <c r="H846" s="138"/>
      <c r="I846" s="138"/>
      <c r="J846" s="138"/>
      <c r="K846" s="138"/>
      <c r="L846" s="138"/>
    </row>
    <row r="847" spans="5:12" ht="13.2" x14ac:dyDescent="0.25">
      <c r="E847" s="138"/>
      <c r="F847" s="138"/>
      <c r="G847" s="138"/>
      <c r="H847" s="138"/>
      <c r="I847" s="138"/>
      <c r="J847" s="138"/>
      <c r="K847" s="138"/>
      <c r="L847" s="138"/>
    </row>
    <row r="848" spans="5:12" ht="13.2" x14ac:dyDescent="0.25">
      <c r="E848" s="138"/>
      <c r="F848" s="138"/>
      <c r="G848" s="138"/>
      <c r="H848" s="138"/>
      <c r="I848" s="138"/>
      <c r="J848" s="138"/>
      <c r="K848" s="138"/>
      <c r="L848" s="138"/>
    </row>
    <row r="849" spans="5:12" ht="13.2" x14ac:dyDescent="0.25">
      <c r="E849" s="138"/>
      <c r="F849" s="138"/>
      <c r="G849" s="138"/>
      <c r="H849" s="138"/>
      <c r="I849" s="138"/>
      <c r="J849" s="138"/>
      <c r="K849" s="138"/>
      <c r="L849" s="138"/>
    </row>
    <row r="850" spans="5:12" ht="13.2" x14ac:dyDescent="0.25">
      <c r="E850" s="138"/>
      <c r="F850" s="138"/>
      <c r="G850" s="138"/>
      <c r="H850" s="138"/>
      <c r="I850" s="138"/>
      <c r="J850" s="138"/>
      <c r="K850" s="138"/>
      <c r="L850" s="138"/>
    </row>
    <row r="851" spans="5:12" ht="13.2" x14ac:dyDescent="0.25">
      <c r="E851" s="138"/>
      <c r="F851" s="138"/>
      <c r="G851" s="138"/>
      <c r="H851" s="138"/>
      <c r="I851" s="138"/>
      <c r="J851" s="138"/>
      <c r="K851" s="138"/>
      <c r="L851" s="138"/>
    </row>
    <row r="852" spans="5:12" ht="13.2" x14ac:dyDescent="0.25">
      <c r="E852" s="138"/>
      <c r="F852" s="138"/>
      <c r="G852" s="138"/>
      <c r="H852" s="138"/>
      <c r="I852" s="138"/>
      <c r="J852" s="138"/>
      <c r="K852" s="138"/>
      <c r="L852" s="138"/>
    </row>
    <row r="853" spans="5:12" ht="13.2" x14ac:dyDescent="0.25">
      <c r="E853" s="138"/>
      <c r="F853" s="138"/>
      <c r="G853" s="138"/>
      <c r="H853" s="138"/>
      <c r="I853" s="138"/>
      <c r="J853" s="138"/>
      <c r="K853" s="138"/>
      <c r="L853" s="138"/>
    </row>
    <row r="854" spans="5:12" ht="13.2" x14ac:dyDescent="0.25">
      <c r="E854" s="138"/>
      <c r="F854" s="138"/>
      <c r="G854" s="138"/>
      <c r="H854" s="138"/>
      <c r="I854" s="138"/>
      <c r="J854" s="138"/>
      <c r="K854" s="138"/>
      <c r="L854" s="138"/>
    </row>
    <row r="855" spans="5:12" ht="13.2" x14ac:dyDescent="0.25">
      <c r="E855" s="138"/>
      <c r="F855" s="138"/>
      <c r="G855" s="138"/>
      <c r="H855" s="138"/>
      <c r="I855" s="138"/>
      <c r="J855" s="138"/>
      <c r="K855" s="138"/>
      <c r="L855" s="138"/>
    </row>
    <row r="856" spans="5:12" ht="13.2" x14ac:dyDescent="0.25">
      <c r="E856" s="138"/>
      <c r="F856" s="138"/>
      <c r="G856" s="138"/>
      <c r="H856" s="138"/>
      <c r="I856" s="138"/>
      <c r="J856" s="138"/>
      <c r="K856" s="138"/>
      <c r="L856" s="138"/>
    </row>
    <row r="857" spans="5:12" ht="13.2" x14ac:dyDescent="0.25">
      <c r="E857" s="138"/>
      <c r="F857" s="138"/>
      <c r="G857" s="138"/>
      <c r="H857" s="138"/>
      <c r="I857" s="138"/>
      <c r="J857" s="138"/>
      <c r="K857" s="138"/>
      <c r="L857" s="138"/>
    </row>
    <row r="858" spans="5:12" ht="13.2" x14ac:dyDescent="0.25">
      <c r="E858" s="138"/>
      <c r="F858" s="138"/>
      <c r="G858" s="138"/>
      <c r="H858" s="138"/>
      <c r="I858" s="138"/>
      <c r="J858" s="138"/>
      <c r="K858" s="138"/>
      <c r="L858" s="138"/>
    </row>
    <row r="859" spans="5:12" ht="13.2" x14ac:dyDescent="0.25">
      <c r="E859" s="138"/>
      <c r="F859" s="138"/>
      <c r="G859" s="138"/>
      <c r="H859" s="138"/>
      <c r="I859" s="138"/>
      <c r="J859" s="138"/>
      <c r="K859" s="138"/>
      <c r="L859" s="138"/>
    </row>
    <row r="860" spans="5:12" ht="13.2" x14ac:dyDescent="0.25">
      <c r="E860" s="138"/>
      <c r="F860" s="138"/>
      <c r="G860" s="138"/>
      <c r="H860" s="138"/>
      <c r="I860" s="138"/>
      <c r="J860" s="138"/>
      <c r="K860" s="138"/>
      <c r="L860" s="138"/>
    </row>
    <row r="861" spans="5:12" ht="13.2" x14ac:dyDescent="0.25">
      <c r="E861" s="138"/>
      <c r="F861" s="138"/>
      <c r="G861" s="138"/>
      <c r="H861" s="138"/>
      <c r="I861" s="138"/>
      <c r="J861" s="138"/>
      <c r="K861" s="138"/>
      <c r="L861" s="138"/>
    </row>
    <row r="862" spans="5:12" ht="13.2" x14ac:dyDescent="0.25">
      <c r="E862" s="138"/>
      <c r="F862" s="138"/>
      <c r="G862" s="138"/>
      <c r="H862" s="138"/>
      <c r="I862" s="138"/>
      <c r="J862" s="138"/>
      <c r="K862" s="138"/>
      <c r="L862" s="138"/>
    </row>
    <row r="863" spans="5:12" ht="13.2" x14ac:dyDescent="0.25">
      <c r="E863" s="138"/>
      <c r="F863" s="138"/>
      <c r="G863" s="138"/>
      <c r="H863" s="138"/>
      <c r="I863" s="138"/>
      <c r="J863" s="138"/>
      <c r="K863" s="138"/>
      <c r="L863" s="138"/>
    </row>
    <row r="864" spans="5:12" ht="13.2" x14ac:dyDescent="0.25">
      <c r="E864" s="138"/>
      <c r="F864" s="138"/>
      <c r="G864" s="138"/>
      <c r="H864" s="138"/>
      <c r="I864" s="138"/>
      <c r="J864" s="138"/>
      <c r="K864" s="138"/>
      <c r="L864" s="138"/>
    </row>
    <row r="865" spans="5:12" ht="13.2" x14ac:dyDescent="0.25">
      <c r="E865" s="138"/>
      <c r="F865" s="138"/>
      <c r="G865" s="138"/>
      <c r="H865" s="138"/>
      <c r="I865" s="138"/>
      <c r="J865" s="138"/>
      <c r="K865" s="138"/>
      <c r="L865" s="138"/>
    </row>
    <row r="866" spans="5:12" ht="13.2" x14ac:dyDescent="0.25">
      <c r="E866" s="138"/>
      <c r="F866" s="138"/>
      <c r="G866" s="138"/>
      <c r="H866" s="138"/>
      <c r="I866" s="138"/>
      <c r="J866" s="138"/>
      <c r="K866" s="138"/>
      <c r="L866" s="138"/>
    </row>
    <row r="867" spans="5:12" ht="13.2" x14ac:dyDescent="0.25">
      <c r="E867" s="138"/>
      <c r="F867" s="138"/>
      <c r="G867" s="138"/>
      <c r="H867" s="138"/>
      <c r="I867" s="138"/>
      <c r="J867" s="138"/>
      <c r="K867" s="138"/>
      <c r="L867" s="138"/>
    </row>
    <row r="868" spans="5:12" ht="13.2" x14ac:dyDescent="0.25">
      <c r="E868" s="138"/>
      <c r="F868" s="138"/>
      <c r="G868" s="138"/>
      <c r="H868" s="138"/>
      <c r="I868" s="138"/>
      <c r="J868" s="138"/>
      <c r="K868" s="138"/>
      <c r="L868" s="138"/>
    </row>
    <row r="869" spans="5:12" ht="13.2" x14ac:dyDescent="0.25">
      <c r="E869" s="138"/>
      <c r="F869" s="138"/>
      <c r="G869" s="138"/>
      <c r="H869" s="138"/>
      <c r="I869" s="138"/>
      <c r="J869" s="138"/>
      <c r="K869" s="138"/>
      <c r="L869" s="138"/>
    </row>
    <row r="870" spans="5:12" ht="13.2" x14ac:dyDescent="0.25">
      <c r="E870" s="138"/>
      <c r="F870" s="138"/>
      <c r="G870" s="138"/>
      <c r="H870" s="138"/>
      <c r="I870" s="138"/>
      <c r="J870" s="138"/>
      <c r="K870" s="138"/>
      <c r="L870" s="138"/>
    </row>
    <row r="871" spans="5:12" ht="13.2" x14ac:dyDescent="0.25">
      <c r="E871" s="138"/>
      <c r="F871" s="138"/>
      <c r="G871" s="138"/>
      <c r="H871" s="138"/>
      <c r="I871" s="138"/>
      <c r="J871" s="138"/>
      <c r="K871" s="138"/>
      <c r="L871" s="138"/>
    </row>
    <row r="872" spans="5:12" ht="13.2" x14ac:dyDescent="0.25">
      <c r="E872" s="138"/>
      <c r="F872" s="138"/>
      <c r="G872" s="138"/>
      <c r="H872" s="138"/>
      <c r="I872" s="138"/>
      <c r="J872" s="138"/>
      <c r="K872" s="138"/>
      <c r="L872" s="138"/>
    </row>
    <row r="873" spans="5:12" ht="13.2" x14ac:dyDescent="0.25">
      <c r="E873" s="138"/>
      <c r="F873" s="138"/>
      <c r="G873" s="138"/>
      <c r="H873" s="138"/>
      <c r="I873" s="138"/>
      <c r="J873" s="138"/>
      <c r="K873" s="138"/>
      <c r="L873" s="138"/>
    </row>
    <row r="874" spans="5:12" ht="13.2" x14ac:dyDescent="0.25">
      <c r="E874" s="138"/>
      <c r="F874" s="138"/>
      <c r="G874" s="138"/>
      <c r="H874" s="138"/>
      <c r="I874" s="138"/>
      <c r="J874" s="138"/>
      <c r="K874" s="138"/>
      <c r="L874" s="138"/>
    </row>
    <row r="875" spans="5:12" ht="13.2" x14ac:dyDescent="0.25">
      <c r="E875" s="138"/>
      <c r="F875" s="138"/>
      <c r="G875" s="138"/>
      <c r="H875" s="138"/>
      <c r="I875" s="138"/>
      <c r="J875" s="138"/>
      <c r="K875" s="138"/>
      <c r="L875" s="138"/>
    </row>
    <row r="876" spans="5:12" ht="13.2" x14ac:dyDescent="0.25">
      <c r="E876" s="138"/>
      <c r="F876" s="138"/>
      <c r="G876" s="138"/>
      <c r="H876" s="138"/>
      <c r="I876" s="138"/>
      <c r="J876" s="138"/>
      <c r="K876" s="138"/>
      <c r="L876" s="138"/>
    </row>
    <row r="877" spans="5:12" ht="13.2" x14ac:dyDescent="0.25">
      <c r="E877" s="138"/>
      <c r="F877" s="138"/>
      <c r="G877" s="138"/>
      <c r="H877" s="138"/>
      <c r="I877" s="138"/>
      <c r="J877" s="138"/>
      <c r="K877" s="138"/>
      <c r="L877" s="138"/>
    </row>
    <row r="878" spans="5:12" ht="13.2" x14ac:dyDescent="0.25">
      <c r="E878" s="138"/>
      <c r="F878" s="138"/>
      <c r="G878" s="138"/>
      <c r="H878" s="138"/>
      <c r="I878" s="138"/>
      <c r="J878" s="138"/>
      <c r="K878" s="138"/>
      <c r="L878" s="138"/>
    </row>
    <row r="879" spans="5:12" ht="13.2" x14ac:dyDescent="0.25">
      <c r="E879" s="138"/>
      <c r="F879" s="138"/>
      <c r="G879" s="138"/>
      <c r="H879" s="138"/>
      <c r="I879" s="138"/>
      <c r="J879" s="138"/>
      <c r="K879" s="138"/>
      <c r="L879" s="138"/>
    </row>
    <row r="880" spans="5:12" ht="13.2" x14ac:dyDescent="0.25">
      <c r="E880" s="138"/>
      <c r="F880" s="138"/>
      <c r="G880" s="138"/>
      <c r="H880" s="138"/>
      <c r="I880" s="138"/>
      <c r="J880" s="138"/>
      <c r="K880" s="138"/>
      <c r="L880" s="138"/>
    </row>
    <row r="881" spans="5:12" ht="13.2" x14ac:dyDescent="0.25">
      <c r="E881" s="138"/>
      <c r="F881" s="138"/>
      <c r="G881" s="138"/>
      <c r="H881" s="138"/>
      <c r="I881" s="138"/>
      <c r="J881" s="138"/>
      <c r="K881" s="138"/>
      <c r="L881" s="138"/>
    </row>
    <row r="882" spans="5:12" ht="13.2" x14ac:dyDescent="0.25">
      <c r="E882" s="138"/>
      <c r="F882" s="138"/>
      <c r="G882" s="138"/>
      <c r="H882" s="138"/>
      <c r="I882" s="138"/>
      <c r="J882" s="138"/>
      <c r="K882" s="138"/>
      <c r="L882" s="138"/>
    </row>
    <row r="883" spans="5:12" ht="13.2" x14ac:dyDescent="0.25">
      <c r="E883" s="138"/>
      <c r="F883" s="138"/>
      <c r="G883" s="138"/>
      <c r="H883" s="138"/>
      <c r="I883" s="138"/>
      <c r="J883" s="138"/>
      <c r="K883" s="138"/>
      <c r="L883" s="138"/>
    </row>
    <row r="884" spans="5:12" ht="13.2" x14ac:dyDescent="0.25">
      <c r="E884" s="138"/>
      <c r="F884" s="138"/>
      <c r="G884" s="138"/>
      <c r="H884" s="138"/>
      <c r="I884" s="138"/>
      <c r="J884" s="138"/>
      <c r="K884" s="138"/>
      <c r="L884" s="138"/>
    </row>
    <row r="885" spans="5:12" ht="13.2" x14ac:dyDescent="0.25">
      <c r="E885" s="138"/>
      <c r="F885" s="138"/>
      <c r="G885" s="138"/>
      <c r="H885" s="138"/>
      <c r="I885" s="138"/>
      <c r="J885" s="138"/>
      <c r="K885" s="138"/>
      <c r="L885" s="138"/>
    </row>
    <row r="886" spans="5:12" ht="13.2" x14ac:dyDescent="0.25">
      <c r="E886" s="138"/>
      <c r="F886" s="138"/>
      <c r="G886" s="138"/>
      <c r="H886" s="138"/>
      <c r="I886" s="138"/>
      <c r="J886" s="138"/>
      <c r="K886" s="138"/>
      <c r="L886" s="138"/>
    </row>
    <row r="887" spans="5:12" ht="13.2" x14ac:dyDescent="0.25">
      <c r="E887" s="138"/>
      <c r="F887" s="138"/>
      <c r="G887" s="138"/>
      <c r="H887" s="138"/>
      <c r="I887" s="138"/>
      <c r="J887" s="138"/>
      <c r="K887" s="138"/>
      <c r="L887" s="138"/>
    </row>
    <row r="888" spans="5:12" ht="13.2" x14ac:dyDescent="0.25">
      <c r="E888" s="138"/>
      <c r="F888" s="138"/>
      <c r="G888" s="138"/>
      <c r="H888" s="138"/>
      <c r="I888" s="138"/>
      <c r="J888" s="138"/>
      <c r="K888" s="138"/>
      <c r="L888" s="138"/>
    </row>
    <row r="889" spans="5:12" ht="13.2" x14ac:dyDescent="0.25">
      <c r="E889" s="138"/>
      <c r="F889" s="138"/>
      <c r="G889" s="138"/>
      <c r="H889" s="138"/>
      <c r="I889" s="138"/>
      <c r="J889" s="138"/>
      <c r="K889" s="138"/>
      <c r="L889" s="138"/>
    </row>
    <row r="890" spans="5:12" ht="13.2" x14ac:dyDescent="0.25">
      <c r="E890" s="138"/>
      <c r="F890" s="138"/>
      <c r="G890" s="138"/>
      <c r="H890" s="138"/>
      <c r="I890" s="138"/>
      <c r="J890" s="138"/>
      <c r="K890" s="138"/>
      <c r="L890" s="138"/>
    </row>
    <row r="891" spans="5:12" ht="13.2" x14ac:dyDescent="0.25">
      <c r="E891" s="138"/>
      <c r="F891" s="138"/>
      <c r="G891" s="138"/>
      <c r="H891" s="138"/>
      <c r="I891" s="138"/>
      <c r="J891" s="138"/>
      <c r="K891" s="138"/>
      <c r="L891" s="138"/>
    </row>
    <row r="892" spans="5:12" ht="13.2" x14ac:dyDescent="0.25">
      <c r="E892" s="138"/>
      <c r="F892" s="138"/>
      <c r="G892" s="138"/>
      <c r="H892" s="138"/>
      <c r="I892" s="138"/>
      <c r="J892" s="138"/>
      <c r="K892" s="138"/>
      <c r="L892" s="138"/>
    </row>
    <row r="893" spans="5:12" ht="13.2" x14ac:dyDescent="0.25">
      <c r="E893" s="138"/>
      <c r="F893" s="138"/>
      <c r="G893" s="138"/>
      <c r="H893" s="138"/>
      <c r="I893" s="138"/>
      <c r="J893" s="138"/>
      <c r="K893" s="138"/>
      <c r="L893" s="138"/>
    </row>
    <row r="894" spans="5:12" ht="13.2" x14ac:dyDescent="0.25">
      <c r="E894" s="138"/>
      <c r="F894" s="138"/>
      <c r="G894" s="138"/>
      <c r="H894" s="138"/>
      <c r="I894" s="138"/>
      <c r="J894" s="138"/>
      <c r="K894" s="138"/>
      <c r="L894" s="138"/>
    </row>
    <row r="895" spans="5:12" ht="13.2" x14ac:dyDescent="0.25">
      <c r="E895" s="138"/>
      <c r="F895" s="138"/>
      <c r="G895" s="138"/>
      <c r="H895" s="138"/>
      <c r="I895" s="138"/>
      <c r="J895" s="138"/>
      <c r="K895" s="138"/>
      <c r="L895" s="138"/>
    </row>
    <row r="896" spans="5:12" ht="13.2" x14ac:dyDescent="0.25">
      <c r="E896" s="138"/>
      <c r="F896" s="138"/>
      <c r="G896" s="138"/>
      <c r="H896" s="138"/>
      <c r="I896" s="138"/>
      <c r="J896" s="138"/>
      <c r="K896" s="138"/>
      <c r="L896" s="138"/>
    </row>
    <row r="897" spans="5:12" ht="13.2" x14ac:dyDescent="0.25">
      <c r="E897" s="138"/>
      <c r="F897" s="138"/>
      <c r="G897" s="138"/>
      <c r="H897" s="138"/>
      <c r="I897" s="138"/>
      <c r="J897" s="138"/>
      <c r="K897" s="138"/>
      <c r="L897" s="138"/>
    </row>
    <row r="898" spans="5:12" ht="13.2" x14ac:dyDescent="0.25">
      <c r="E898" s="138"/>
      <c r="F898" s="138"/>
      <c r="G898" s="138"/>
      <c r="H898" s="138"/>
      <c r="I898" s="138"/>
      <c r="J898" s="138"/>
      <c r="K898" s="138"/>
      <c r="L898" s="138"/>
    </row>
    <row r="899" spans="5:12" ht="13.2" x14ac:dyDescent="0.25">
      <c r="E899" s="138"/>
      <c r="F899" s="138"/>
      <c r="G899" s="138"/>
      <c r="H899" s="138"/>
      <c r="I899" s="138"/>
      <c r="J899" s="138"/>
      <c r="K899" s="138"/>
      <c r="L899" s="138"/>
    </row>
    <row r="900" spans="5:12" ht="13.2" x14ac:dyDescent="0.25">
      <c r="E900" s="138"/>
      <c r="F900" s="138"/>
      <c r="G900" s="138"/>
      <c r="H900" s="138"/>
      <c r="I900" s="138"/>
      <c r="J900" s="138"/>
      <c r="K900" s="138"/>
      <c r="L900" s="138"/>
    </row>
    <row r="901" spans="5:12" ht="13.2" x14ac:dyDescent="0.25">
      <c r="E901" s="138"/>
      <c r="F901" s="138"/>
      <c r="G901" s="138"/>
      <c r="H901" s="138"/>
      <c r="I901" s="138"/>
      <c r="J901" s="138"/>
      <c r="K901" s="138"/>
      <c r="L901" s="138"/>
    </row>
    <row r="902" spans="5:12" ht="13.2" x14ac:dyDescent="0.25">
      <c r="E902" s="138"/>
      <c r="F902" s="138"/>
      <c r="G902" s="138"/>
      <c r="H902" s="138"/>
      <c r="I902" s="138"/>
      <c r="J902" s="138"/>
      <c r="K902" s="138"/>
      <c r="L902" s="138"/>
    </row>
    <row r="903" spans="5:12" ht="13.2" x14ac:dyDescent="0.25">
      <c r="E903" s="138"/>
      <c r="F903" s="138"/>
      <c r="G903" s="138"/>
      <c r="H903" s="138"/>
      <c r="I903" s="138"/>
      <c r="J903" s="138"/>
      <c r="K903" s="138"/>
      <c r="L903" s="138"/>
    </row>
    <row r="904" spans="5:12" ht="13.2" x14ac:dyDescent="0.25">
      <c r="E904" s="138"/>
      <c r="F904" s="138"/>
      <c r="G904" s="138"/>
      <c r="H904" s="138"/>
      <c r="I904" s="138"/>
      <c r="J904" s="138"/>
      <c r="K904" s="138"/>
      <c r="L904" s="138"/>
    </row>
    <row r="905" spans="5:12" ht="13.2" x14ac:dyDescent="0.25">
      <c r="E905" s="138"/>
      <c r="F905" s="138"/>
      <c r="G905" s="138"/>
      <c r="H905" s="138"/>
      <c r="I905" s="138"/>
      <c r="J905" s="138"/>
      <c r="K905" s="138"/>
      <c r="L905" s="138"/>
    </row>
    <row r="906" spans="5:12" ht="13.2" x14ac:dyDescent="0.25">
      <c r="E906" s="138"/>
      <c r="F906" s="138"/>
      <c r="G906" s="138"/>
      <c r="H906" s="138"/>
      <c r="I906" s="138"/>
      <c r="J906" s="138"/>
      <c r="K906" s="138"/>
      <c r="L906" s="138"/>
    </row>
    <row r="907" spans="5:12" ht="13.2" x14ac:dyDescent="0.25">
      <c r="E907" s="138"/>
      <c r="F907" s="138"/>
      <c r="G907" s="138"/>
      <c r="H907" s="138"/>
      <c r="I907" s="138"/>
      <c r="J907" s="138"/>
      <c r="K907" s="138"/>
      <c r="L907" s="138"/>
    </row>
    <row r="908" spans="5:12" ht="13.2" x14ac:dyDescent="0.25">
      <c r="E908" s="138"/>
      <c r="F908" s="138"/>
      <c r="G908" s="138"/>
      <c r="H908" s="138"/>
      <c r="I908" s="138"/>
      <c r="J908" s="138"/>
      <c r="K908" s="138"/>
      <c r="L908" s="138"/>
    </row>
    <row r="909" spans="5:12" ht="13.2" x14ac:dyDescent="0.25">
      <c r="E909" s="138"/>
      <c r="F909" s="138"/>
      <c r="G909" s="138"/>
      <c r="H909" s="138"/>
      <c r="I909" s="138"/>
      <c r="J909" s="138"/>
      <c r="K909" s="138"/>
      <c r="L909" s="138"/>
    </row>
    <row r="910" spans="5:12" ht="13.2" x14ac:dyDescent="0.25">
      <c r="E910" s="138"/>
      <c r="F910" s="138"/>
      <c r="G910" s="138"/>
      <c r="H910" s="138"/>
      <c r="I910" s="138"/>
      <c r="J910" s="138"/>
      <c r="K910" s="138"/>
      <c r="L910" s="138"/>
    </row>
    <row r="911" spans="5:12" ht="13.2" x14ac:dyDescent="0.25">
      <c r="E911" s="138"/>
      <c r="F911" s="138"/>
      <c r="G911" s="138"/>
      <c r="H911" s="138"/>
      <c r="I911" s="138"/>
      <c r="J911" s="138"/>
      <c r="K911" s="138"/>
      <c r="L911" s="138"/>
    </row>
    <row r="912" spans="5:12" ht="13.2" x14ac:dyDescent="0.25">
      <c r="E912" s="138"/>
      <c r="F912" s="138"/>
      <c r="G912" s="138"/>
      <c r="H912" s="138"/>
      <c r="I912" s="138"/>
      <c r="J912" s="138"/>
      <c r="K912" s="138"/>
      <c r="L912" s="138"/>
    </row>
    <row r="913" spans="5:12" ht="13.2" x14ac:dyDescent="0.25">
      <c r="E913" s="138"/>
      <c r="F913" s="138"/>
      <c r="G913" s="138"/>
      <c r="H913" s="138"/>
      <c r="I913" s="138"/>
      <c r="J913" s="138"/>
      <c r="K913" s="138"/>
      <c r="L913" s="138"/>
    </row>
    <row r="914" spans="5:12" ht="13.2" x14ac:dyDescent="0.25">
      <c r="E914" s="138"/>
      <c r="F914" s="138"/>
      <c r="G914" s="138"/>
      <c r="H914" s="138"/>
      <c r="I914" s="138"/>
      <c r="J914" s="138"/>
      <c r="K914" s="138"/>
      <c r="L914" s="138"/>
    </row>
    <row r="915" spans="5:12" ht="13.2" x14ac:dyDescent="0.25">
      <c r="E915" s="138"/>
      <c r="F915" s="138"/>
      <c r="G915" s="138"/>
      <c r="H915" s="138"/>
      <c r="I915" s="138"/>
      <c r="J915" s="138"/>
      <c r="K915" s="138"/>
      <c r="L915" s="138"/>
    </row>
    <row r="916" spans="5:12" ht="13.2" x14ac:dyDescent="0.25">
      <c r="E916" s="138"/>
      <c r="F916" s="138"/>
      <c r="G916" s="138"/>
      <c r="H916" s="138"/>
      <c r="I916" s="138"/>
      <c r="J916" s="138"/>
      <c r="K916" s="138"/>
      <c r="L916" s="138"/>
    </row>
    <row r="917" spans="5:12" ht="13.2" x14ac:dyDescent="0.25">
      <c r="E917" s="138"/>
      <c r="F917" s="138"/>
      <c r="G917" s="138"/>
      <c r="H917" s="138"/>
      <c r="I917" s="138"/>
      <c r="J917" s="138"/>
      <c r="K917" s="138"/>
      <c r="L917" s="138"/>
    </row>
    <row r="918" spans="5:12" ht="13.2" x14ac:dyDescent="0.25">
      <c r="E918" s="138"/>
      <c r="F918" s="138"/>
      <c r="G918" s="138"/>
      <c r="H918" s="138"/>
      <c r="I918" s="138"/>
      <c r="J918" s="138"/>
      <c r="K918" s="138"/>
      <c r="L918" s="138"/>
    </row>
    <row r="919" spans="5:12" ht="13.2" x14ac:dyDescent="0.25">
      <c r="E919" s="138"/>
      <c r="F919" s="138"/>
      <c r="G919" s="138"/>
      <c r="H919" s="138"/>
      <c r="I919" s="138"/>
      <c r="J919" s="138"/>
      <c r="K919" s="138"/>
      <c r="L919" s="138"/>
    </row>
    <row r="920" spans="5:12" ht="13.2" x14ac:dyDescent="0.25">
      <c r="E920" s="138"/>
      <c r="F920" s="138"/>
      <c r="G920" s="138"/>
      <c r="H920" s="138"/>
      <c r="I920" s="138"/>
      <c r="J920" s="138"/>
      <c r="K920" s="138"/>
      <c r="L920" s="138"/>
    </row>
    <row r="921" spans="5:12" ht="13.2" x14ac:dyDescent="0.25">
      <c r="E921" s="138"/>
      <c r="F921" s="138"/>
      <c r="G921" s="138"/>
      <c r="H921" s="138"/>
      <c r="I921" s="138"/>
      <c r="J921" s="138"/>
      <c r="K921" s="138"/>
      <c r="L921" s="138"/>
    </row>
    <row r="922" spans="5:12" ht="13.2" x14ac:dyDescent="0.25">
      <c r="E922" s="138"/>
      <c r="F922" s="138"/>
      <c r="G922" s="138"/>
      <c r="H922" s="138"/>
      <c r="I922" s="138"/>
      <c r="J922" s="138"/>
      <c r="K922" s="138"/>
      <c r="L922" s="138"/>
    </row>
    <row r="923" spans="5:12" ht="13.2" x14ac:dyDescent="0.25">
      <c r="E923" s="138"/>
      <c r="F923" s="138"/>
      <c r="G923" s="138"/>
      <c r="H923" s="138"/>
      <c r="I923" s="138"/>
      <c r="J923" s="138"/>
      <c r="K923" s="138"/>
      <c r="L923" s="138"/>
    </row>
    <row r="924" spans="5:12" ht="13.2" x14ac:dyDescent="0.25">
      <c r="E924" s="138"/>
      <c r="F924" s="138"/>
      <c r="G924" s="138"/>
      <c r="H924" s="138"/>
      <c r="I924" s="138"/>
      <c r="J924" s="138"/>
      <c r="K924" s="138"/>
      <c r="L924" s="138"/>
    </row>
    <row r="925" spans="5:12" ht="13.2" x14ac:dyDescent="0.25">
      <c r="E925" s="138"/>
      <c r="F925" s="138"/>
      <c r="G925" s="138"/>
      <c r="H925" s="138"/>
      <c r="I925" s="138"/>
      <c r="J925" s="138"/>
      <c r="K925" s="138"/>
      <c r="L925" s="138"/>
    </row>
    <row r="926" spans="5:12" ht="13.2" x14ac:dyDescent="0.25">
      <c r="E926" s="138"/>
      <c r="F926" s="138"/>
      <c r="G926" s="138"/>
      <c r="H926" s="138"/>
      <c r="I926" s="138"/>
      <c r="J926" s="138"/>
      <c r="K926" s="138"/>
      <c r="L926" s="138"/>
    </row>
    <row r="927" spans="5:12" ht="13.2" x14ac:dyDescent="0.25">
      <c r="E927" s="138"/>
      <c r="F927" s="138"/>
      <c r="G927" s="138"/>
      <c r="H927" s="138"/>
      <c r="I927" s="138"/>
      <c r="J927" s="138"/>
      <c r="K927" s="138"/>
      <c r="L927" s="138"/>
    </row>
    <row r="928" spans="5:12" ht="13.2" x14ac:dyDescent="0.25">
      <c r="E928" s="138"/>
      <c r="F928" s="138"/>
      <c r="G928" s="138"/>
      <c r="H928" s="138"/>
      <c r="I928" s="138"/>
      <c r="J928" s="138"/>
      <c r="K928" s="138"/>
      <c r="L928" s="138"/>
    </row>
    <row r="929" spans="5:12" ht="13.2" x14ac:dyDescent="0.25">
      <c r="E929" s="138"/>
      <c r="F929" s="138"/>
      <c r="G929" s="138"/>
      <c r="H929" s="138"/>
      <c r="I929" s="138"/>
      <c r="J929" s="138"/>
      <c r="K929" s="138"/>
      <c r="L929" s="138"/>
    </row>
    <row r="930" spans="5:12" ht="13.2" x14ac:dyDescent="0.25">
      <c r="E930" s="138"/>
      <c r="F930" s="138"/>
      <c r="G930" s="138"/>
      <c r="H930" s="138"/>
      <c r="I930" s="138"/>
      <c r="J930" s="138"/>
      <c r="K930" s="138"/>
      <c r="L930" s="138"/>
    </row>
    <row r="931" spans="5:12" ht="13.2" x14ac:dyDescent="0.25">
      <c r="E931" s="138"/>
      <c r="F931" s="138"/>
      <c r="G931" s="138"/>
      <c r="H931" s="138"/>
      <c r="I931" s="138"/>
      <c r="J931" s="138"/>
      <c r="K931" s="138"/>
      <c r="L931" s="138"/>
    </row>
    <row r="932" spans="5:12" ht="13.2" x14ac:dyDescent="0.25">
      <c r="E932" s="138"/>
      <c r="F932" s="138"/>
      <c r="G932" s="138"/>
      <c r="H932" s="138"/>
      <c r="I932" s="138"/>
      <c r="J932" s="138"/>
      <c r="K932" s="138"/>
      <c r="L932" s="138"/>
    </row>
    <row r="933" spans="5:12" ht="13.2" x14ac:dyDescent="0.25">
      <c r="E933" s="138"/>
      <c r="F933" s="138"/>
      <c r="G933" s="138"/>
      <c r="H933" s="138"/>
      <c r="I933" s="138"/>
      <c r="J933" s="138"/>
      <c r="K933" s="138"/>
      <c r="L933" s="138"/>
    </row>
    <row r="934" spans="5:12" ht="13.2" x14ac:dyDescent="0.25">
      <c r="E934" s="138"/>
      <c r="F934" s="138"/>
      <c r="G934" s="138"/>
      <c r="H934" s="138"/>
      <c r="I934" s="138"/>
      <c r="J934" s="138"/>
      <c r="K934" s="138"/>
      <c r="L934" s="138"/>
    </row>
    <row r="935" spans="5:12" ht="13.2" x14ac:dyDescent="0.25">
      <c r="E935" s="138"/>
      <c r="F935" s="138"/>
      <c r="G935" s="138"/>
      <c r="H935" s="138"/>
      <c r="I935" s="138"/>
      <c r="J935" s="138"/>
      <c r="K935" s="138"/>
      <c r="L935" s="138"/>
    </row>
    <row r="936" spans="5:12" ht="13.2" x14ac:dyDescent="0.25">
      <c r="E936" s="138"/>
      <c r="F936" s="138"/>
      <c r="G936" s="138"/>
      <c r="H936" s="138"/>
      <c r="I936" s="138"/>
      <c r="J936" s="138"/>
      <c r="K936" s="138"/>
      <c r="L936" s="138"/>
    </row>
    <row r="937" spans="5:12" ht="13.2" x14ac:dyDescent="0.25">
      <c r="E937" s="138"/>
      <c r="F937" s="138"/>
      <c r="G937" s="138"/>
      <c r="H937" s="138"/>
      <c r="I937" s="138"/>
      <c r="J937" s="138"/>
      <c r="K937" s="138"/>
      <c r="L937" s="138"/>
    </row>
    <row r="938" spans="5:12" ht="13.2" x14ac:dyDescent="0.25">
      <c r="E938" s="138"/>
      <c r="F938" s="138"/>
      <c r="G938" s="138"/>
      <c r="H938" s="138"/>
      <c r="I938" s="138"/>
      <c r="J938" s="138"/>
      <c r="K938" s="138"/>
      <c r="L938" s="138"/>
    </row>
    <row r="939" spans="5:12" ht="13.2" x14ac:dyDescent="0.25">
      <c r="E939" s="138"/>
      <c r="F939" s="138"/>
      <c r="G939" s="138"/>
      <c r="H939" s="138"/>
      <c r="I939" s="138"/>
      <c r="J939" s="138"/>
      <c r="K939" s="138"/>
      <c r="L939" s="138"/>
    </row>
    <row r="940" spans="5:12" ht="13.2" x14ac:dyDescent="0.25">
      <c r="E940" s="138"/>
      <c r="F940" s="138"/>
      <c r="G940" s="138"/>
      <c r="H940" s="138"/>
      <c r="I940" s="138"/>
      <c r="J940" s="138"/>
      <c r="K940" s="138"/>
      <c r="L940" s="138"/>
    </row>
    <row r="941" spans="5:12" ht="13.2" x14ac:dyDescent="0.25">
      <c r="E941" s="138"/>
      <c r="F941" s="138"/>
      <c r="G941" s="138"/>
      <c r="H941" s="138"/>
      <c r="I941" s="138"/>
      <c r="J941" s="138"/>
      <c r="K941" s="138"/>
      <c r="L941" s="138"/>
    </row>
    <row r="942" spans="5:12" ht="13.2" x14ac:dyDescent="0.25">
      <c r="E942" s="138"/>
      <c r="F942" s="138"/>
      <c r="G942" s="138"/>
      <c r="H942" s="138"/>
      <c r="I942" s="138"/>
      <c r="J942" s="138"/>
      <c r="K942" s="138"/>
      <c r="L942" s="138"/>
    </row>
    <row r="943" spans="5:12" ht="13.2" x14ac:dyDescent="0.25">
      <c r="E943" s="138"/>
      <c r="F943" s="138"/>
      <c r="G943" s="138"/>
      <c r="H943" s="138"/>
      <c r="I943" s="138"/>
      <c r="J943" s="138"/>
      <c r="K943" s="138"/>
      <c r="L943" s="138"/>
    </row>
    <row r="944" spans="5:12" ht="13.2" x14ac:dyDescent="0.25">
      <c r="E944" s="138"/>
      <c r="F944" s="138"/>
      <c r="G944" s="138"/>
      <c r="H944" s="138"/>
      <c r="I944" s="138"/>
      <c r="J944" s="138"/>
      <c r="K944" s="138"/>
      <c r="L944" s="138"/>
    </row>
    <row r="945" spans="5:12" ht="13.2" x14ac:dyDescent="0.25">
      <c r="E945" s="138"/>
      <c r="F945" s="138"/>
      <c r="G945" s="138"/>
      <c r="H945" s="138"/>
      <c r="I945" s="138"/>
      <c r="J945" s="138"/>
      <c r="K945" s="138"/>
      <c r="L945" s="138"/>
    </row>
    <row r="946" spans="5:12" ht="13.2" x14ac:dyDescent="0.25">
      <c r="E946" s="138"/>
      <c r="F946" s="138"/>
      <c r="G946" s="138"/>
      <c r="H946" s="138"/>
      <c r="I946" s="138"/>
      <c r="J946" s="138"/>
      <c r="K946" s="138"/>
      <c r="L946" s="138"/>
    </row>
    <row r="947" spans="5:12" ht="13.2" x14ac:dyDescent="0.25">
      <c r="E947" s="138"/>
      <c r="F947" s="138"/>
      <c r="G947" s="138"/>
      <c r="H947" s="138"/>
      <c r="I947" s="138"/>
      <c r="J947" s="138"/>
      <c r="K947" s="138"/>
      <c r="L947" s="138"/>
    </row>
    <row r="948" spans="5:12" ht="13.2" x14ac:dyDescent="0.25">
      <c r="E948" s="138"/>
      <c r="F948" s="138"/>
      <c r="G948" s="138"/>
      <c r="H948" s="138"/>
      <c r="I948" s="138"/>
      <c r="J948" s="138"/>
      <c r="K948" s="138"/>
      <c r="L948" s="138"/>
    </row>
    <row r="949" spans="5:12" ht="13.2" x14ac:dyDescent="0.25">
      <c r="E949" s="138"/>
      <c r="F949" s="138"/>
      <c r="G949" s="138"/>
      <c r="H949" s="138"/>
      <c r="I949" s="138"/>
      <c r="J949" s="138"/>
      <c r="K949" s="138"/>
      <c r="L949" s="138"/>
    </row>
    <row r="950" spans="5:12" ht="13.2" x14ac:dyDescent="0.25">
      <c r="E950" s="138"/>
      <c r="F950" s="138"/>
      <c r="G950" s="138"/>
      <c r="H950" s="138"/>
      <c r="I950" s="138"/>
      <c r="J950" s="138"/>
      <c r="K950" s="138"/>
      <c r="L950" s="138"/>
    </row>
    <row r="951" spans="5:12" ht="13.2" x14ac:dyDescent="0.25">
      <c r="E951" s="138"/>
      <c r="F951" s="138"/>
      <c r="G951" s="138"/>
      <c r="H951" s="138"/>
      <c r="I951" s="138"/>
      <c r="J951" s="138"/>
      <c r="K951" s="138"/>
      <c r="L951" s="138"/>
    </row>
    <row r="952" spans="5:12" ht="13.2" x14ac:dyDescent="0.25">
      <c r="E952" s="138"/>
      <c r="F952" s="138"/>
      <c r="G952" s="138"/>
      <c r="H952" s="138"/>
      <c r="I952" s="138"/>
      <c r="J952" s="138"/>
      <c r="K952" s="138"/>
      <c r="L952" s="138"/>
    </row>
    <row r="953" spans="5:12" ht="13.2" x14ac:dyDescent="0.25">
      <c r="E953" s="138"/>
      <c r="F953" s="138"/>
      <c r="G953" s="138"/>
      <c r="H953" s="138"/>
      <c r="I953" s="138"/>
      <c r="J953" s="138"/>
      <c r="K953" s="138"/>
      <c r="L953" s="138"/>
    </row>
    <row r="954" spans="5:12" ht="13.2" x14ac:dyDescent="0.25">
      <c r="E954" s="138"/>
      <c r="F954" s="138"/>
      <c r="G954" s="138"/>
      <c r="H954" s="138"/>
      <c r="I954" s="138"/>
      <c r="J954" s="138"/>
      <c r="K954" s="138"/>
      <c r="L954" s="138"/>
    </row>
    <row r="955" spans="5:12" ht="13.2" x14ac:dyDescent="0.25">
      <c r="E955" s="138"/>
      <c r="F955" s="138"/>
      <c r="G955" s="138"/>
      <c r="H955" s="138"/>
      <c r="I955" s="138"/>
      <c r="J955" s="138"/>
      <c r="K955" s="138"/>
      <c r="L955" s="138"/>
    </row>
    <row r="956" spans="5:12" ht="13.2" x14ac:dyDescent="0.25">
      <c r="E956" s="138"/>
      <c r="F956" s="138"/>
      <c r="G956" s="138"/>
      <c r="H956" s="138"/>
      <c r="I956" s="138"/>
      <c r="J956" s="138"/>
      <c r="K956" s="138"/>
      <c r="L956" s="138"/>
    </row>
    <row r="957" spans="5:12" ht="13.2" x14ac:dyDescent="0.25">
      <c r="E957" s="138"/>
      <c r="F957" s="138"/>
      <c r="G957" s="138"/>
      <c r="H957" s="138"/>
      <c r="I957" s="138"/>
      <c r="J957" s="138"/>
      <c r="K957" s="138"/>
      <c r="L957" s="138"/>
    </row>
    <row r="958" spans="5:12" ht="13.2" x14ac:dyDescent="0.25">
      <c r="E958" s="138"/>
      <c r="F958" s="138"/>
      <c r="G958" s="138"/>
      <c r="H958" s="138"/>
      <c r="I958" s="138"/>
      <c r="J958" s="138"/>
      <c r="K958" s="138"/>
      <c r="L958" s="138"/>
    </row>
    <row r="959" spans="5:12" ht="13.2" x14ac:dyDescent="0.25">
      <c r="E959" s="138"/>
      <c r="F959" s="138"/>
      <c r="G959" s="138"/>
      <c r="H959" s="138"/>
      <c r="I959" s="138"/>
      <c r="J959" s="138"/>
      <c r="K959" s="138"/>
      <c r="L959" s="138"/>
    </row>
    <row r="960" spans="5:12" ht="13.2" x14ac:dyDescent="0.25">
      <c r="E960" s="138"/>
      <c r="F960" s="138"/>
      <c r="G960" s="138"/>
      <c r="H960" s="138"/>
      <c r="I960" s="138"/>
      <c r="J960" s="138"/>
      <c r="K960" s="138"/>
      <c r="L960" s="138"/>
    </row>
    <row r="961" spans="5:12" ht="13.2" x14ac:dyDescent="0.25">
      <c r="E961" s="138"/>
      <c r="F961" s="138"/>
      <c r="G961" s="138"/>
      <c r="H961" s="138"/>
      <c r="I961" s="138"/>
      <c r="J961" s="138"/>
      <c r="K961" s="138"/>
      <c r="L961" s="138"/>
    </row>
    <row r="962" spans="5:12" ht="13.2" x14ac:dyDescent="0.25">
      <c r="E962" s="138"/>
      <c r="F962" s="138"/>
      <c r="G962" s="138"/>
      <c r="H962" s="138"/>
      <c r="I962" s="138"/>
      <c r="J962" s="138"/>
      <c r="K962" s="138"/>
      <c r="L962" s="138"/>
    </row>
    <row r="963" spans="5:12" ht="13.2" x14ac:dyDescent="0.25">
      <c r="E963" s="138"/>
      <c r="F963" s="138"/>
      <c r="G963" s="138"/>
      <c r="H963" s="138"/>
      <c r="I963" s="138"/>
      <c r="J963" s="138"/>
      <c r="K963" s="138"/>
      <c r="L963" s="138"/>
    </row>
    <row r="964" spans="5:12" ht="13.2" x14ac:dyDescent="0.25">
      <c r="E964" s="138"/>
      <c r="F964" s="138"/>
      <c r="G964" s="138"/>
      <c r="H964" s="138"/>
      <c r="I964" s="138"/>
      <c r="J964" s="138"/>
      <c r="K964" s="138"/>
      <c r="L964" s="138"/>
    </row>
    <row r="965" spans="5:12" ht="13.2" x14ac:dyDescent="0.25">
      <c r="E965" s="138"/>
      <c r="F965" s="138"/>
      <c r="G965" s="138"/>
      <c r="H965" s="138"/>
      <c r="I965" s="138"/>
      <c r="J965" s="138"/>
      <c r="K965" s="138"/>
      <c r="L965" s="138"/>
    </row>
    <row r="966" spans="5:12" ht="13.2" x14ac:dyDescent="0.25">
      <c r="E966" s="138"/>
      <c r="F966" s="138"/>
      <c r="G966" s="138"/>
      <c r="H966" s="138"/>
      <c r="I966" s="138"/>
      <c r="J966" s="138"/>
      <c r="K966" s="138"/>
      <c r="L966" s="138"/>
    </row>
    <row r="967" spans="5:12" ht="13.2" x14ac:dyDescent="0.25">
      <c r="E967" s="138"/>
      <c r="F967" s="138"/>
      <c r="G967" s="138"/>
      <c r="H967" s="138"/>
      <c r="I967" s="138"/>
      <c r="J967" s="138"/>
      <c r="K967" s="138"/>
      <c r="L967" s="138"/>
    </row>
    <row r="968" spans="5:12" ht="13.2" x14ac:dyDescent="0.25">
      <c r="E968" s="138"/>
      <c r="F968" s="138"/>
      <c r="G968" s="138"/>
      <c r="H968" s="138"/>
      <c r="I968" s="138"/>
      <c r="J968" s="138"/>
      <c r="K968" s="138"/>
      <c r="L968" s="138"/>
    </row>
    <row r="969" spans="5:12" ht="13.2" x14ac:dyDescent="0.25">
      <c r="E969" s="138"/>
      <c r="F969" s="138"/>
      <c r="G969" s="138"/>
      <c r="H969" s="138"/>
      <c r="I969" s="138"/>
      <c r="J969" s="138"/>
      <c r="K969" s="138"/>
      <c r="L969" s="138"/>
    </row>
    <row r="970" spans="5:12" ht="13.2" x14ac:dyDescent="0.25">
      <c r="E970" s="138"/>
      <c r="F970" s="138"/>
      <c r="G970" s="138"/>
      <c r="H970" s="138"/>
      <c r="I970" s="138"/>
      <c r="J970" s="138"/>
      <c r="K970" s="138"/>
      <c r="L970" s="138"/>
    </row>
    <row r="971" spans="5:12" ht="13.2" x14ac:dyDescent="0.25">
      <c r="E971" s="138"/>
      <c r="F971" s="138"/>
      <c r="G971" s="138"/>
      <c r="H971" s="138"/>
      <c r="I971" s="138"/>
      <c r="J971" s="138"/>
      <c r="K971" s="138"/>
      <c r="L971" s="138"/>
    </row>
    <row r="972" spans="5:12" ht="13.2" x14ac:dyDescent="0.25">
      <c r="E972" s="138"/>
      <c r="F972" s="138"/>
      <c r="G972" s="138"/>
      <c r="H972" s="138"/>
      <c r="I972" s="138"/>
      <c r="J972" s="138"/>
      <c r="K972" s="138"/>
      <c r="L972" s="138"/>
    </row>
    <row r="973" spans="5:12" ht="13.2" x14ac:dyDescent="0.25">
      <c r="E973" s="138"/>
      <c r="F973" s="138"/>
      <c r="G973" s="138"/>
      <c r="H973" s="138"/>
      <c r="I973" s="138"/>
      <c r="J973" s="138"/>
      <c r="K973" s="138"/>
      <c r="L973" s="138"/>
    </row>
    <row r="974" spans="5:12" ht="13.2" x14ac:dyDescent="0.25">
      <c r="E974" s="138"/>
      <c r="F974" s="138"/>
      <c r="G974" s="138"/>
      <c r="H974" s="138"/>
      <c r="I974" s="138"/>
      <c r="J974" s="138"/>
      <c r="K974" s="138"/>
      <c r="L974" s="138"/>
    </row>
    <row r="975" spans="5:12" ht="13.2" x14ac:dyDescent="0.25">
      <c r="E975" s="138"/>
      <c r="F975" s="138"/>
      <c r="G975" s="138"/>
      <c r="H975" s="138"/>
      <c r="I975" s="138"/>
      <c r="J975" s="138"/>
      <c r="K975" s="138"/>
      <c r="L975" s="138"/>
    </row>
    <row r="976" spans="5:12" ht="13.2" x14ac:dyDescent="0.25">
      <c r="E976" s="138"/>
      <c r="F976" s="138"/>
      <c r="G976" s="138"/>
      <c r="H976" s="138"/>
      <c r="I976" s="138"/>
      <c r="J976" s="138"/>
      <c r="K976" s="138"/>
      <c r="L976" s="138"/>
    </row>
    <row r="977" spans="5:12" ht="13.2" x14ac:dyDescent="0.25">
      <c r="E977" s="138"/>
      <c r="F977" s="138"/>
      <c r="G977" s="138"/>
      <c r="H977" s="138"/>
      <c r="I977" s="138"/>
      <c r="J977" s="138"/>
      <c r="K977" s="138"/>
      <c r="L977" s="138"/>
    </row>
    <row r="978" spans="5:12" ht="13.2" x14ac:dyDescent="0.25">
      <c r="E978" s="138"/>
      <c r="F978" s="138"/>
      <c r="G978" s="138"/>
      <c r="H978" s="138"/>
      <c r="I978" s="138"/>
      <c r="J978" s="138"/>
      <c r="K978" s="138"/>
      <c r="L978" s="138"/>
    </row>
    <row r="979" spans="5:12" ht="13.2" x14ac:dyDescent="0.25">
      <c r="E979" s="138"/>
      <c r="F979" s="138"/>
      <c r="G979" s="138"/>
      <c r="H979" s="138"/>
      <c r="I979" s="138"/>
      <c r="J979" s="138"/>
      <c r="K979" s="138"/>
      <c r="L979" s="138"/>
    </row>
    <row r="980" spans="5:12" ht="13.2" x14ac:dyDescent="0.25">
      <c r="E980" s="138"/>
      <c r="F980" s="138"/>
      <c r="G980" s="138"/>
      <c r="H980" s="138"/>
      <c r="I980" s="138"/>
      <c r="J980" s="138"/>
      <c r="K980" s="138"/>
      <c r="L980" s="138"/>
    </row>
    <row r="981" spans="5:12" ht="13.2" x14ac:dyDescent="0.25">
      <c r="E981" s="138"/>
      <c r="F981" s="138"/>
      <c r="G981" s="138"/>
      <c r="H981" s="138"/>
      <c r="I981" s="138"/>
      <c r="J981" s="138"/>
      <c r="K981" s="138"/>
      <c r="L981" s="138"/>
    </row>
    <row r="982" spans="5:12" ht="13.2" x14ac:dyDescent="0.25">
      <c r="E982" s="138"/>
      <c r="F982" s="138"/>
      <c r="G982" s="138"/>
      <c r="H982" s="138"/>
      <c r="I982" s="138"/>
      <c r="J982" s="138"/>
      <c r="K982" s="138"/>
      <c r="L982" s="138"/>
    </row>
    <row r="983" spans="5:12" ht="13.2" x14ac:dyDescent="0.25">
      <c r="E983" s="138"/>
      <c r="F983" s="138"/>
      <c r="G983" s="138"/>
      <c r="H983" s="138"/>
      <c r="I983" s="138"/>
      <c r="J983" s="138"/>
      <c r="K983" s="138"/>
      <c r="L983" s="138"/>
    </row>
    <row r="984" spans="5:12" ht="13.2" x14ac:dyDescent="0.25">
      <c r="E984" s="138"/>
      <c r="F984" s="138"/>
      <c r="G984" s="138"/>
      <c r="H984" s="138"/>
      <c r="I984" s="138"/>
      <c r="J984" s="138"/>
      <c r="K984" s="138"/>
      <c r="L984" s="138"/>
    </row>
    <row r="985" spans="5:12" ht="13.2" x14ac:dyDescent="0.25">
      <c r="E985" s="138"/>
      <c r="F985" s="138"/>
      <c r="G985" s="138"/>
      <c r="H985" s="138"/>
      <c r="I985" s="138"/>
      <c r="J985" s="138"/>
      <c r="K985" s="138"/>
      <c r="L985" s="138"/>
    </row>
    <row r="986" spans="5:12" ht="13.2" x14ac:dyDescent="0.25">
      <c r="E986" s="138"/>
      <c r="F986" s="138"/>
      <c r="G986" s="138"/>
      <c r="H986" s="138"/>
      <c r="I986" s="138"/>
      <c r="J986" s="138"/>
      <c r="K986" s="138"/>
      <c r="L986" s="138"/>
    </row>
    <row r="987" spans="5:12" ht="13.2" x14ac:dyDescent="0.25">
      <c r="E987" s="138"/>
      <c r="F987" s="138"/>
      <c r="G987" s="138"/>
      <c r="H987" s="138"/>
      <c r="I987" s="138"/>
      <c r="J987" s="138"/>
      <c r="K987" s="138"/>
      <c r="L987" s="138"/>
    </row>
    <row r="988" spans="5:12" ht="13.2" x14ac:dyDescent="0.25">
      <c r="E988" s="138"/>
      <c r="F988" s="138"/>
      <c r="G988" s="138"/>
      <c r="H988" s="138"/>
      <c r="I988" s="138"/>
      <c r="J988" s="138"/>
      <c r="K988" s="138"/>
      <c r="L988" s="138"/>
    </row>
    <row r="989" spans="5:12" ht="13.2" x14ac:dyDescent="0.25">
      <c r="E989" s="138"/>
      <c r="F989" s="138"/>
      <c r="G989" s="138"/>
      <c r="H989" s="138"/>
      <c r="I989" s="138"/>
      <c r="J989" s="138"/>
      <c r="K989" s="138"/>
      <c r="L989" s="138"/>
    </row>
    <row r="990" spans="5:12" ht="13.2" x14ac:dyDescent="0.25">
      <c r="E990" s="138"/>
      <c r="F990" s="138"/>
      <c r="G990" s="138"/>
      <c r="H990" s="138"/>
      <c r="I990" s="138"/>
      <c r="J990" s="138"/>
      <c r="K990" s="138"/>
      <c r="L990" s="138"/>
    </row>
    <row r="991" spans="5:12" ht="13.2" x14ac:dyDescent="0.25">
      <c r="E991" s="138"/>
      <c r="F991" s="138"/>
      <c r="G991" s="138"/>
      <c r="H991" s="138"/>
      <c r="I991" s="138"/>
      <c r="J991" s="138"/>
      <c r="K991" s="138"/>
      <c r="L991" s="138"/>
    </row>
    <row r="992" spans="5:12" ht="13.2" x14ac:dyDescent="0.25">
      <c r="E992" s="138"/>
      <c r="F992" s="138"/>
      <c r="G992" s="138"/>
      <c r="H992" s="138"/>
      <c r="I992" s="138"/>
      <c r="J992" s="138"/>
      <c r="K992" s="138"/>
      <c r="L992" s="138"/>
    </row>
    <row r="993" spans="5:12" ht="13.2" x14ac:dyDescent="0.25">
      <c r="E993" s="138"/>
      <c r="F993" s="138"/>
      <c r="G993" s="138"/>
      <c r="H993" s="138"/>
      <c r="I993" s="138"/>
      <c r="J993" s="138"/>
      <c r="K993" s="138"/>
      <c r="L993" s="138"/>
    </row>
    <row r="994" spans="5:12" ht="13.2" x14ac:dyDescent="0.25">
      <c r="E994" s="138"/>
      <c r="F994" s="138"/>
      <c r="G994" s="138"/>
      <c r="H994" s="138"/>
      <c r="I994" s="138"/>
      <c r="J994" s="138"/>
      <c r="K994" s="138"/>
      <c r="L994" s="138"/>
    </row>
  </sheetData>
  <mergeCells count="11">
    <mergeCell ref="P3:P4"/>
    <mergeCell ref="Q3:Q4"/>
    <mergeCell ref="E3:L3"/>
    <mergeCell ref="S3:Z3"/>
    <mergeCell ref="B2:Z2"/>
    <mergeCell ref="B3:B4"/>
    <mergeCell ref="C3:C4"/>
    <mergeCell ref="D3:D4"/>
    <mergeCell ref="M3:N4"/>
    <mergeCell ref="O3:O4"/>
    <mergeCell ref="R3:R4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990"/>
  <sheetViews>
    <sheetView workbookViewId="0"/>
  </sheetViews>
  <sheetFormatPr defaultColWidth="12.6640625" defaultRowHeight="15.75" customHeight="1" x14ac:dyDescent="0.25"/>
  <cols>
    <col min="1" max="1" width="3.88671875" customWidth="1"/>
    <col min="2" max="2" width="27.33203125" customWidth="1"/>
    <col min="7" max="7" width="3.44140625" customWidth="1"/>
    <col min="8" max="8" width="19.109375" customWidth="1"/>
  </cols>
  <sheetData>
    <row r="1" spans="1:26" ht="15.75" customHeight="1" x14ac:dyDescent="0.3">
      <c r="A1" s="128"/>
      <c r="B1" s="208"/>
      <c r="C1" s="209"/>
      <c r="D1" s="209"/>
      <c r="E1" s="209"/>
      <c r="F1" s="209"/>
      <c r="G1" s="128"/>
      <c r="H1" s="208"/>
      <c r="I1" s="209"/>
      <c r="J1" s="209"/>
      <c r="K1" s="209"/>
      <c r="L1" s="209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</row>
    <row r="2" spans="1:26" ht="15.75" customHeight="1" x14ac:dyDescent="0.55000000000000004">
      <c r="A2" s="180"/>
      <c r="B2" s="208"/>
      <c r="C2" s="293"/>
      <c r="D2" s="294"/>
      <c r="E2" s="294"/>
      <c r="F2" s="295"/>
      <c r="G2" s="180"/>
      <c r="H2" s="208"/>
      <c r="I2" s="293"/>
      <c r="J2" s="294"/>
      <c r="K2" s="294"/>
      <c r="L2" s="295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</row>
    <row r="3" spans="1:26" ht="15.75" customHeight="1" x14ac:dyDescent="0.3">
      <c r="A3" s="180"/>
      <c r="B3" s="296" t="s">
        <v>646</v>
      </c>
      <c r="C3" s="257"/>
      <c r="D3" s="257"/>
      <c r="E3" s="257"/>
      <c r="F3" s="297"/>
      <c r="G3" s="180"/>
      <c r="H3" s="296" t="s">
        <v>647</v>
      </c>
      <c r="I3" s="257"/>
      <c r="J3" s="257"/>
      <c r="K3" s="257"/>
      <c r="L3" s="297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</row>
    <row r="4" spans="1:26" ht="15.75" customHeight="1" x14ac:dyDescent="0.3">
      <c r="A4" s="180">
        <v>1</v>
      </c>
      <c r="B4" s="210" t="s">
        <v>648</v>
      </c>
      <c r="C4" s="211">
        <f>'4. PLAN ORÇA'!M94</f>
        <v>28880.240000000002</v>
      </c>
      <c r="D4" s="212">
        <f>C4/C7</f>
        <v>1</v>
      </c>
      <c r="E4" s="128"/>
      <c r="F4" s="180"/>
      <c r="G4" s="180"/>
      <c r="H4" s="210" t="s">
        <v>649</v>
      </c>
      <c r="I4" s="213">
        <f>C27</f>
        <v>39662.196266666673</v>
      </c>
      <c r="J4" s="128"/>
      <c r="K4" s="128"/>
      <c r="L4" s="180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</row>
    <row r="5" spans="1:26" ht="15.75" customHeight="1" x14ac:dyDescent="0.3">
      <c r="A5" s="180">
        <v>2</v>
      </c>
      <c r="B5" s="210" t="s">
        <v>407</v>
      </c>
      <c r="C5" s="211">
        <f>'4. CUSTO IND'!H2</f>
        <v>0</v>
      </c>
      <c r="D5" s="212">
        <f>C5/C7</f>
        <v>0</v>
      </c>
      <c r="E5" s="128"/>
      <c r="F5" s="180"/>
      <c r="G5" s="180"/>
      <c r="H5" s="214"/>
      <c r="I5" s="128"/>
      <c r="J5" s="128"/>
      <c r="K5" s="128"/>
      <c r="L5" s="180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</row>
    <row r="6" spans="1:26" ht="15.75" customHeight="1" x14ac:dyDescent="0.3">
      <c r="A6" s="180"/>
      <c r="B6" s="214"/>
      <c r="C6" s="128"/>
      <c r="D6" s="128"/>
      <c r="E6" s="128"/>
      <c r="F6" s="180"/>
      <c r="G6" s="180"/>
      <c r="H6" s="210" t="s">
        <v>650</v>
      </c>
      <c r="I6" s="213">
        <f>I4*J6</f>
        <v>396.62196266666672</v>
      </c>
      <c r="J6" s="215">
        <v>0.01</v>
      </c>
      <c r="K6" s="128"/>
      <c r="L6" s="180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</row>
    <row r="7" spans="1:26" ht="15.75" customHeight="1" x14ac:dyDescent="0.3">
      <c r="A7" s="180">
        <v>3</v>
      </c>
      <c r="B7" s="210" t="s">
        <v>651</v>
      </c>
      <c r="C7" s="211">
        <f>SUM(C4,C5)</f>
        <v>28880.240000000002</v>
      </c>
      <c r="D7" s="128"/>
      <c r="E7" s="128"/>
      <c r="F7" s="180"/>
      <c r="G7" s="180"/>
      <c r="H7" s="214"/>
      <c r="I7" s="128"/>
      <c r="J7" s="128"/>
      <c r="K7" s="128"/>
      <c r="L7" s="180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</row>
    <row r="8" spans="1:26" ht="15.75" customHeight="1" x14ac:dyDescent="0.3">
      <c r="A8" s="180"/>
      <c r="B8" s="214"/>
      <c r="C8" s="128"/>
      <c r="D8" s="128"/>
      <c r="E8" s="128"/>
      <c r="F8" s="180"/>
      <c r="G8" s="180"/>
      <c r="H8" s="210" t="s">
        <v>652</v>
      </c>
      <c r="I8" s="213">
        <f>I4*C22</f>
        <v>1983.1098133333337</v>
      </c>
      <c r="J8" s="215">
        <f>C22</f>
        <v>0.05</v>
      </c>
      <c r="K8" s="128"/>
      <c r="L8" s="180"/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</row>
    <row r="9" spans="1:26" ht="15.75" customHeight="1" x14ac:dyDescent="0.3">
      <c r="A9" s="180">
        <v>4</v>
      </c>
      <c r="B9" s="210" t="s">
        <v>400</v>
      </c>
      <c r="C9" s="216">
        <f>C7*D9</f>
        <v>288.80240000000003</v>
      </c>
      <c r="D9" s="217">
        <v>0.01</v>
      </c>
      <c r="E9" s="298">
        <f>SUM(C9:C11)</f>
        <v>866.4072000000001</v>
      </c>
      <c r="F9" s="180"/>
      <c r="G9" s="180"/>
      <c r="H9" s="214"/>
      <c r="I9" s="128"/>
      <c r="J9" s="128"/>
      <c r="K9" s="128"/>
      <c r="L9" s="180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</row>
    <row r="10" spans="1:26" ht="15.75" customHeight="1" x14ac:dyDescent="0.3">
      <c r="A10" s="180">
        <v>5</v>
      </c>
      <c r="B10" s="210" t="s">
        <v>402</v>
      </c>
      <c r="C10" s="216">
        <f>C7*D10</f>
        <v>288.80240000000003</v>
      </c>
      <c r="D10" s="217">
        <v>0.01</v>
      </c>
      <c r="E10" s="259"/>
      <c r="F10" s="180"/>
      <c r="G10" s="180"/>
      <c r="H10" s="210" t="s">
        <v>404</v>
      </c>
      <c r="I10" s="213">
        <f>(I4*C24)-I6</f>
        <v>7535.8172906666678</v>
      </c>
      <c r="J10" s="215">
        <f>I10/I4</f>
        <v>0.19</v>
      </c>
      <c r="K10" s="128"/>
      <c r="L10" s="180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</row>
    <row r="11" spans="1:26" ht="15.75" customHeight="1" x14ac:dyDescent="0.3">
      <c r="A11" s="180">
        <v>6</v>
      </c>
      <c r="B11" s="210" t="s">
        <v>653</v>
      </c>
      <c r="C11" s="216">
        <f>C7*D11</f>
        <v>288.80240000000003</v>
      </c>
      <c r="D11" s="217">
        <v>0.01</v>
      </c>
      <c r="E11" s="259"/>
      <c r="F11" s="180"/>
      <c r="G11" s="180"/>
      <c r="H11" s="214"/>
      <c r="I11" s="128"/>
      <c r="J11" s="128"/>
      <c r="K11" s="128"/>
      <c r="L11" s="180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</row>
    <row r="12" spans="1:26" ht="15.75" customHeight="1" x14ac:dyDescent="0.3">
      <c r="A12" s="180"/>
      <c r="B12" s="214"/>
      <c r="C12" s="128"/>
      <c r="D12" s="128"/>
      <c r="E12" s="128"/>
      <c r="F12" s="180"/>
      <c r="G12" s="180"/>
      <c r="H12" s="210" t="s">
        <v>654</v>
      </c>
      <c r="I12" s="213">
        <f>I4-I6-I8-I10</f>
        <v>29746.647200000007</v>
      </c>
      <c r="J12" s="215">
        <f>I12/I4</f>
        <v>0.75</v>
      </c>
      <c r="K12" s="128"/>
      <c r="L12" s="180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</row>
    <row r="13" spans="1:26" ht="15.75" customHeight="1" x14ac:dyDescent="0.3">
      <c r="A13" s="180">
        <v>7</v>
      </c>
      <c r="B13" s="210" t="s">
        <v>398</v>
      </c>
      <c r="C13" s="216">
        <f>SUM(C7+C9+C10+C11)</f>
        <v>29746.647200000003</v>
      </c>
      <c r="D13" s="128"/>
      <c r="E13" s="128"/>
      <c r="F13" s="180"/>
      <c r="G13" s="180"/>
      <c r="H13" s="214"/>
      <c r="I13" s="128"/>
      <c r="J13" s="128"/>
      <c r="K13" s="128"/>
      <c r="L13" s="180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</row>
    <row r="14" spans="1:26" ht="15.75" customHeight="1" x14ac:dyDescent="0.3">
      <c r="A14" s="180"/>
      <c r="B14" s="214"/>
      <c r="C14" s="128"/>
      <c r="D14" s="128"/>
      <c r="E14" s="128"/>
      <c r="F14" s="180"/>
      <c r="G14" s="180"/>
      <c r="H14" s="210" t="s">
        <v>400</v>
      </c>
      <c r="I14" s="213">
        <f>I12*D9</f>
        <v>297.46647200000007</v>
      </c>
      <c r="J14" s="128"/>
      <c r="K14" s="128"/>
      <c r="L14" s="180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</row>
    <row r="15" spans="1:26" ht="15.75" customHeight="1" x14ac:dyDescent="0.3">
      <c r="A15" s="180">
        <v>8</v>
      </c>
      <c r="B15" s="210" t="s">
        <v>655</v>
      </c>
      <c r="C15" s="217">
        <v>1.4999999999999999E-2</v>
      </c>
      <c r="D15" s="213">
        <f t="shared" ref="D15:D20" si="0">$C$27*C15</f>
        <v>594.93294400000002</v>
      </c>
      <c r="E15" s="128"/>
      <c r="F15" s="180"/>
      <c r="G15" s="180"/>
      <c r="H15" s="210" t="s">
        <v>656</v>
      </c>
      <c r="I15" s="213">
        <f>I12*D10</f>
        <v>297.46647200000007</v>
      </c>
      <c r="J15" s="128"/>
      <c r="K15" s="128"/>
      <c r="L15" s="180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</row>
    <row r="16" spans="1:26" ht="15.75" customHeight="1" x14ac:dyDescent="0.3">
      <c r="A16" s="180">
        <v>9</v>
      </c>
      <c r="B16" s="210" t="s">
        <v>657</v>
      </c>
      <c r="C16" s="217">
        <v>0</v>
      </c>
      <c r="D16" s="213">
        <f t="shared" si="0"/>
        <v>0</v>
      </c>
      <c r="E16" s="128"/>
      <c r="F16" s="180"/>
      <c r="G16" s="180"/>
      <c r="H16" s="210" t="s">
        <v>658</v>
      </c>
      <c r="I16" s="213">
        <f>I12*D11</f>
        <v>297.46647200000007</v>
      </c>
      <c r="J16" s="128"/>
      <c r="K16" s="128"/>
      <c r="L16" s="180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</row>
    <row r="17" spans="1:26" ht="15.75" customHeight="1" x14ac:dyDescent="0.3">
      <c r="A17" s="180">
        <v>10</v>
      </c>
      <c r="B17" s="210" t="s">
        <v>659</v>
      </c>
      <c r="C17" s="217">
        <v>0</v>
      </c>
      <c r="D17" s="213">
        <f t="shared" si="0"/>
        <v>0</v>
      </c>
      <c r="E17" s="128"/>
      <c r="F17" s="180"/>
      <c r="G17" s="180"/>
      <c r="H17" s="214"/>
      <c r="I17" s="128"/>
      <c r="J17" s="128"/>
      <c r="K17" s="128"/>
      <c r="L17" s="180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</row>
    <row r="18" spans="1:26" ht="15.75" customHeight="1" x14ac:dyDescent="0.3">
      <c r="A18" s="180">
        <v>11</v>
      </c>
      <c r="B18" s="210" t="s">
        <v>660</v>
      </c>
      <c r="C18" s="217">
        <v>0.02</v>
      </c>
      <c r="D18" s="213">
        <f t="shared" si="0"/>
        <v>793.24392533333344</v>
      </c>
      <c r="E18" s="128"/>
      <c r="F18" s="180"/>
      <c r="G18" s="180"/>
      <c r="H18" s="210" t="s">
        <v>661</v>
      </c>
      <c r="I18" s="213">
        <f>I12-(I14+I15+I16)</f>
        <v>28854.247784000007</v>
      </c>
      <c r="J18" s="192"/>
      <c r="K18" s="128"/>
      <c r="L18" s="180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</row>
    <row r="19" spans="1:26" ht="15.75" customHeight="1" x14ac:dyDescent="0.3">
      <c r="A19" s="180">
        <v>12</v>
      </c>
      <c r="B19" s="210" t="s">
        <v>662</v>
      </c>
      <c r="C19" s="217">
        <v>0</v>
      </c>
      <c r="D19" s="213">
        <f t="shared" si="0"/>
        <v>0</v>
      </c>
      <c r="E19" s="128"/>
      <c r="F19" s="180"/>
      <c r="G19" s="180"/>
      <c r="H19" s="218"/>
      <c r="I19" s="128"/>
      <c r="J19" s="128"/>
      <c r="K19" s="128"/>
      <c r="L19" s="180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</row>
    <row r="20" spans="1:26" ht="15.75" customHeight="1" x14ac:dyDescent="0.3">
      <c r="A20" s="180">
        <v>13</v>
      </c>
      <c r="B20" s="210" t="s">
        <v>663</v>
      </c>
      <c r="C20" s="217">
        <v>1.4999999999999999E-2</v>
      </c>
      <c r="D20" s="213">
        <f t="shared" si="0"/>
        <v>594.93294400000002</v>
      </c>
      <c r="E20" s="128"/>
      <c r="F20" s="180"/>
      <c r="G20" s="180"/>
      <c r="H20" s="219" t="s">
        <v>407</v>
      </c>
      <c r="I20" s="213">
        <f>I18*D5</f>
        <v>0</v>
      </c>
      <c r="J20" s="215">
        <f>I20/I18</f>
        <v>0</v>
      </c>
      <c r="K20" s="128"/>
      <c r="L20" s="180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</row>
    <row r="21" spans="1:26" ht="15.75" customHeight="1" x14ac:dyDescent="0.3">
      <c r="A21" s="180"/>
      <c r="B21" s="214"/>
      <c r="C21" s="128"/>
      <c r="D21" s="128"/>
      <c r="E21" s="128"/>
      <c r="F21" s="180"/>
      <c r="G21" s="180"/>
      <c r="H21" s="219" t="s">
        <v>664</v>
      </c>
      <c r="I21" s="213">
        <f>I18*D4</f>
        <v>28854.247784000007</v>
      </c>
      <c r="J21" s="215">
        <f>I21/I18</f>
        <v>1</v>
      </c>
      <c r="K21" s="128"/>
      <c r="L21" s="180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</row>
    <row r="22" spans="1:26" ht="15.75" customHeight="1" x14ac:dyDescent="0.3">
      <c r="A22" s="180">
        <v>14</v>
      </c>
      <c r="B22" s="210" t="s">
        <v>665</v>
      </c>
      <c r="C22" s="217">
        <f t="shared" ref="C22:D22" si="1">SUM(C15:C20)</f>
        <v>0.05</v>
      </c>
      <c r="D22" s="213">
        <f t="shared" si="1"/>
        <v>1983.1098133333335</v>
      </c>
      <c r="E22" s="220" t="s">
        <v>666</v>
      </c>
      <c r="F22" s="180"/>
      <c r="G22" s="180"/>
      <c r="H22" s="218"/>
      <c r="I22" s="128"/>
      <c r="J22" s="128"/>
      <c r="K22" s="128"/>
      <c r="L22" s="180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</row>
    <row r="23" spans="1:26" ht="14.4" x14ac:dyDescent="0.3">
      <c r="A23" s="180"/>
      <c r="B23" s="214"/>
      <c r="C23" s="128"/>
      <c r="D23" s="128"/>
      <c r="E23" s="128"/>
      <c r="F23" s="180"/>
      <c r="G23" s="180"/>
      <c r="H23" s="219" t="s">
        <v>667</v>
      </c>
      <c r="I23" s="213">
        <f>I18-(I20+I21)</f>
        <v>0</v>
      </c>
      <c r="J23" s="128"/>
      <c r="K23" s="128"/>
      <c r="L23" s="180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</row>
    <row r="24" spans="1:26" ht="14.4" x14ac:dyDescent="0.3">
      <c r="A24" s="180">
        <v>15</v>
      </c>
      <c r="B24" s="210" t="s">
        <v>404</v>
      </c>
      <c r="C24" s="217">
        <v>0.2</v>
      </c>
      <c r="D24" s="213">
        <f>C27*C24</f>
        <v>7932.4392533333348</v>
      </c>
      <c r="E24" s="128" t="s">
        <v>668</v>
      </c>
      <c r="F24" s="180"/>
      <c r="G24" s="180"/>
      <c r="H24" s="218"/>
      <c r="I24" s="128"/>
      <c r="J24" s="128"/>
      <c r="K24" s="128"/>
      <c r="L24" s="180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</row>
    <row r="25" spans="1:26" ht="14.4" x14ac:dyDescent="0.3">
      <c r="A25" s="180">
        <v>16</v>
      </c>
      <c r="B25" s="210" t="s">
        <v>669</v>
      </c>
      <c r="C25" s="217">
        <f>SUM(C22,C24)</f>
        <v>0.25</v>
      </c>
      <c r="D25" s="213">
        <f>SUM(D22+D24)</f>
        <v>9915.5490666666683</v>
      </c>
      <c r="E25" s="128"/>
      <c r="F25" s="180"/>
      <c r="G25" s="180"/>
      <c r="H25" s="218"/>
      <c r="I25" s="128"/>
      <c r="J25" s="128"/>
      <c r="K25" s="128"/>
      <c r="L25" s="180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</row>
    <row r="26" spans="1:26" ht="14.4" x14ac:dyDescent="0.3">
      <c r="A26" s="180"/>
      <c r="B26" s="214"/>
      <c r="C26" s="128"/>
      <c r="D26" s="128"/>
      <c r="E26" s="128"/>
      <c r="F26" s="180"/>
      <c r="G26" s="180"/>
      <c r="H26" s="218"/>
      <c r="I26" s="128"/>
      <c r="J26" s="128"/>
      <c r="K26" s="128"/>
      <c r="L26" s="180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</row>
    <row r="27" spans="1:26" ht="14.4" x14ac:dyDescent="0.3">
      <c r="A27" s="180">
        <v>17</v>
      </c>
      <c r="B27" s="210" t="s">
        <v>397</v>
      </c>
      <c r="C27" s="216">
        <f>C13/(1-C25)</f>
        <v>39662.196266666673</v>
      </c>
      <c r="D27" s="213"/>
      <c r="E27" s="128" t="s">
        <v>8</v>
      </c>
      <c r="F27" s="180"/>
      <c r="G27" s="180"/>
      <c r="H27" s="218"/>
      <c r="I27" s="128"/>
      <c r="J27" s="128"/>
      <c r="K27" s="128"/>
      <c r="L27" s="180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</row>
    <row r="28" spans="1:26" ht="14.4" x14ac:dyDescent="0.3">
      <c r="A28" s="180">
        <v>18</v>
      </c>
      <c r="B28" s="221" t="s">
        <v>670</v>
      </c>
      <c r="C28" s="222">
        <f>C27/C13-1</f>
        <v>0.33333333333333348</v>
      </c>
      <c r="D28" s="209"/>
      <c r="E28" s="209"/>
      <c r="F28" s="223"/>
      <c r="G28" s="180"/>
      <c r="H28" s="208"/>
      <c r="I28" s="209"/>
      <c r="J28" s="209"/>
      <c r="K28" s="209"/>
      <c r="L28" s="223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</row>
    <row r="29" spans="1:26" ht="14.4" x14ac:dyDescent="0.3">
      <c r="A29" s="128"/>
      <c r="B29" s="218"/>
      <c r="C29" s="128"/>
      <c r="D29" s="128"/>
      <c r="E29" s="128"/>
      <c r="F29" s="128"/>
      <c r="G29" s="128"/>
      <c r="H29" s="21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</row>
    <row r="30" spans="1:26" ht="14.4" x14ac:dyDescent="0.3">
      <c r="A30" s="128"/>
      <c r="B30" s="218"/>
      <c r="C30" s="128"/>
      <c r="D30" s="128"/>
      <c r="E30" s="128"/>
      <c r="F30" s="128"/>
      <c r="G30" s="128"/>
      <c r="H30" s="21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</row>
    <row r="31" spans="1:26" ht="14.4" x14ac:dyDescent="0.3">
      <c r="A31" s="128"/>
      <c r="B31" s="218"/>
      <c r="C31" s="128"/>
      <c r="D31" s="128"/>
      <c r="E31" s="128"/>
      <c r="F31" s="128"/>
      <c r="G31" s="128"/>
      <c r="H31" s="21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</row>
    <row r="32" spans="1:26" ht="14.4" x14ac:dyDescent="0.3">
      <c r="A32" s="128"/>
      <c r="B32" s="218"/>
      <c r="C32" s="128"/>
      <c r="D32" s="128"/>
      <c r="E32" s="128"/>
      <c r="F32" s="128"/>
      <c r="G32" s="128"/>
      <c r="H32" s="21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</row>
    <row r="33" spans="1:26" ht="14.4" x14ac:dyDescent="0.3">
      <c r="A33" s="128"/>
      <c r="B33" s="218"/>
      <c r="C33" s="128"/>
      <c r="D33" s="128"/>
      <c r="E33" s="128"/>
      <c r="F33" s="128"/>
      <c r="G33" s="128"/>
      <c r="H33" s="21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</row>
    <row r="34" spans="1:26" ht="14.4" x14ac:dyDescent="0.3">
      <c r="A34" s="128"/>
      <c r="B34" s="218"/>
      <c r="C34" s="128"/>
      <c r="D34" s="128"/>
      <c r="E34" s="128"/>
      <c r="F34" s="128"/>
      <c r="G34" s="128"/>
      <c r="H34" s="21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</row>
    <row r="35" spans="1:26" ht="14.4" x14ac:dyDescent="0.3">
      <c r="A35" s="128"/>
      <c r="B35" s="218"/>
      <c r="C35" s="128"/>
      <c r="D35" s="128"/>
      <c r="E35" s="128"/>
      <c r="F35" s="128"/>
      <c r="G35" s="128"/>
      <c r="H35" s="21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</row>
    <row r="36" spans="1:26" ht="14.4" x14ac:dyDescent="0.3">
      <c r="A36" s="128"/>
      <c r="B36" s="218"/>
      <c r="C36" s="128"/>
      <c r="D36" s="128"/>
      <c r="E36" s="128"/>
      <c r="F36" s="128"/>
      <c r="G36" s="128"/>
      <c r="H36" s="21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</row>
    <row r="37" spans="1:26" ht="14.4" x14ac:dyDescent="0.3">
      <c r="A37" s="128"/>
      <c r="B37" s="218"/>
      <c r="C37" s="128"/>
      <c r="D37" s="128"/>
      <c r="E37" s="128"/>
      <c r="F37" s="128"/>
      <c r="G37" s="128"/>
      <c r="H37" s="21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</row>
    <row r="38" spans="1:26" ht="14.4" x14ac:dyDescent="0.3">
      <c r="A38" s="128"/>
      <c r="B38" s="218"/>
      <c r="C38" s="128"/>
      <c r="D38" s="128"/>
      <c r="E38" s="128"/>
      <c r="F38" s="128"/>
      <c r="G38" s="128"/>
      <c r="H38" s="21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</row>
    <row r="39" spans="1:26" ht="14.4" x14ac:dyDescent="0.3">
      <c r="A39" s="128"/>
      <c r="B39" s="218"/>
      <c r="C39" s="128"/>
      <c r="D39" s="128"/>
      <c r="E39" s="128"/>
      <c r="F39" s="128"/>
      <c r="G39" s="128"/>
      <c r="H39" s="21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</row>
    <row r="40" spans="1:26" ht="14.4" x14ac:dyDescent="0.3">
      <c r="A40" s="128"/>
      <c r="B40" s="218"/>
      <c r="C40" s="128"/>
      <c r="D40" s="128"/>
      <c r="E40" s="128"/>
      <c r="F40" s="128"/>
      <c r="G40" s="128"/>
      <c r="H40" s="21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</row>
    <row r="41" spans="1:26" ht="14.4" x14ac:dyDescent="0.3">
      <c r="A41" s="128"/>
      <c r="B41" s="218"/>
      <c r="C41" s="128"/>
      <c r="D41" s="128"/>
      <c r="E41" s="128"/>
      <c r="F41" s="128"/>
      <c r="G41" s="128"/>
      <c r="H41" s="21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</row>
    <row r="42" spans="1:26" ht="14.4" x14ac:dyDescent="0.3">
      <c r="A42" s="128"/>
      <c r="B42" s="218"/>
      <c r="C42" s="128"/>
      <c r="D42" s="128"/>
      <c r="E42" s="128"/>
      <c r="F42" s="128"/>
      <c r="G42" s="128"/>
      <c r="H42" s="21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</row>
    <row r="43" spans="1:26" ht="14.4" x14ac:dyDescent="0.3">
      <c r="A43" s="128"/>
      <c r="B43" s="218"/>
      <c r="C43" s="128"/>
      <c r="D43" s="128"/>
      <c r="E43" s="128"/>
      <c r="F43" s="128"/>
      <c r="G43" s="128"/>
      <c r="H43" s="21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</row>
    <row r="44" spans="1:26" ht="14.4" x14ac:dyDescent="0.3">
      <c r="A44" s="128"/>
      <c r="B44" s="218"/>
      <c r="C44" s="128"/>
      <c r="D44" s="128"/>
      <c r="E44" s="128"/>
      <c r="F44" s="128"/>
      <c r="G44" s="128"/>
      <c r="H44" s="21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</row>
    <row r="45" spans="1:26" ht="14.4" x14ac:dyDescent="0.3">
      <c r="A45" s="128"/>
      <c r="B45" s="218"/>
      <c r="C45" s="128"/>
      <c r="D45" s="128"/>
      <c r="E45" s="128"/>
      <c r="F45" s="128"/>
      <c r="G45" s="128"/>
      <c r="H45" s="21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</row>
    <row r="46" spans="1:26" ht="14.4" x14ac:dyDescent="0.3">
      <c r="A46" s="128"/>
      <c r="B46" s="218"/>
      <c r="C46" s="128"/>
      <c r="D46" s="128"/>
      <c r="E46" s="128"/>
      <c r="F46" s="128"/>
      <c r="G46" s="128"/>
      <c r="H46" s="21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</row>
    <row r="47" spans="1:26" ht="14.4" x14ac:dyDescent="0.3">
      <c r="A47" s="128"/>
      <c r="B47" s="218"/>
      <c r="C47" s="128"/>
      <c r="D47" s="128"/>
      <c r="E47" s="128"/>
      <c r="F47" s="128"/>
      <c r="G47" s="128"/>
      <c r="H47" s="21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</row>
    <row r="48" spans="1:26" ht="14.4" x14ac:dyDescent="0.3">
      <c r="A48" s="128"/>
      <c r="B48" s="218"/>
      <c r="C48" s="128"/>
      <c r="D48" s="128"/>
      <c r="E48" s="128"/>
      <c r="F48" s="128"/>
      <c r="G48" s="128"/>
      <c r="H48" s="21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</row>
    <row r="49" spans="1:26" ht="14.4" x14ac:dyDescent="0.3">
      <c r="A49" s="128"/>
      <c r="B49" s="218"/>
      <c r="C49" s="128"/>
      <c r="D49" s="128"/>
      <c r="E49" s="128"/>
      <c r="F49" s="128"/>
      <c r="G49" s="128"/>
      <c r="H49" s="21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</row>
    <row r="50" spans="1:26" ht="14.4" x14ac:dyDescent="0.3">
      <c r="A50" s="128"/>
      <c r="B50" s="218"/>
      <c r="C50" s="128"/>
      <c r="D50" s="128"/>
      <c r="E50" s="128"/>
      <c r="F50" s="128"/>
      <c r="G50" s="128"/>
      <c r="H50" s="21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</row>
    <row r="51" spans="1:26" ht="14.4" x14ac:dyDescent="0.3">
      <c r="A51" s="128"/>
      <c r="B51" s="218"/>
      <c r="C51" s="128"/>
      <c r="D51" s="128"/>
      <c r="E51" s="128"/>
      <c r="F51" s="128"/>
      <c r="G51" s="128"/>
      <c r="H51" s="21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</row>
    <row r="52" spans="1:26" ht="14.4" x14ac:dyDescent="0.3">
      <c r="A52" s="128"/>
      <c r="B52" s="218"/>
      <c r="C52" s="128"/>
      <c r="D52" s="128"/>
      <c r="E52" s="128"/>
      <c r="F52" s="128"/>
      <c r="G52" s="128"/>
      <c r="H52" s="21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</row>
    <row r="53" spans="1:26" ht="14.4" x14ac:dyDescent="0.3">
      <c r="A53" s="128"/>
      <c r="B53" s="218"/>
      <c r="C53" s="128"/>
      <c r="D53" s="128"/>
      <c r="E53" s="128"/>
      <c r="F53" s="128"/>
      <c r="G53" s="128"/>
      <c r="H53" s="21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</row>
    <row r="54" spans="1:26" ht="14.4" x14ac:dyDescent="0.3">
      <c r="A54" s="128"/>
      <c r="B54" s="218"/>
      <c r="C54" s="128"/>
      <c r="D54" s="128"/>
      <c r="E54" s="128"/>
      <c r="F54" s="128"/>
      <c r="G54" s="128"/>
      <c r="H54" s="21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</row>
    <row r="55" spans="1:26" ht="14.4" x14ac:dyDescent="0.3">
      <c r="A55" s="128"/>
      <c r="B55" s="218"/>
      <c r="C55" s="128"/>
      <c r="D55" s="128"/>
      <c r="E55" s="128"/>
      <c r="F55" s="128"/>
      <c r="G55" s="128"/>
      <c r="H55" s="21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</row>
    <row r="56" spans="1:26" ht="14.4" x14ac:dyDescent="0.3">
      <c r="A56" s="128"/>
      <c r="B56" s="218"/>
      <c r="C56" s="128"/>
      <c r="D56" s="128"/>
      <c r="E56" s="128"/>
      <c r="F56" s="128"/>
      <c r="G56" s="128"/>
      <c r="H56" s="21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</row>
    <row r="57" spans="1:26" ht="14.4" x14ac:dyDescent="0.3">
      <c r="A57" s="128"/>
      <c r="B57" s="218"/>
      <c r="C57" s="128"/>
      <c r="D57" s="128"/>
      <c r="E57" s="128"/>
      <c r="F57" s="128"/>
      <c r="G57" s="128"/>
      <c r="H57" s="21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</row>
    <row r="58" spans="1:26" ht="14.4" x14ac:dyDescent="0.3">
      <c r="A58" s="128"/>
      <c r="B58" s="218"/>
      <c r="C58" s="128"/>
      <c r="D58" s="128"/>
      <c r="E58" s="128"/>
      <c r="F58" s="128"/>
      <c r="G58" s="128"/>
      <c r="H58" s="21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</row>
    <row r="59" spans="1:26" ht="14.4" x14ac:dyDescent="0.3">
      <c r="A59" s="128"/>
      <c r="B59" s="218"/>
      <c r="C59" s="128"/>
      <c r="D59" s="128"/>
      <c r="E59" s="128"/>
      <c r="F59" s="128"/>
      <c r="G59" s="128"/>
      <c r="H59" s="21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</row>
    <row r="60" spans="1:26" ht="14.4" x14ac:dyDescent="0.3">
      <c r="A60" s="128"/>
      <c r="B60" s="218"/>
      <c r="C60" s="128"/>
      <c r="D60" s="128"/>
      <c r="E60" s="128"/>
      <c r="F60" s="128"/>
      <c r="G60" s="128"/>
      <c r="H60" s="21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</row>
    <row r="61" spans="1:26" ht="14.4" x14ac:dyDescent="0.3">
      <c r="A61" s="128"/>
      <c r="B61" s="218"/>
      <c r="C61" s="128"/>
      <c r="D61" s="128"/>
      <c r="E61" s="128"/>
      <c r="F61" s="128"/>
      <c r="G61" s="128"/>
      <c r="H61" s="21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</row>
    <row r="62" spans="1:26" ht="14.4" x14ac:dyDescent="0.3">
      <c r="A62" s="128"/>
      <c r="B62" s="218"/>
      <c r="C62" s="128"/>
      <c r="D62" s="128"/>
      <c r="E62" s="128"/>
      <c r="F62" s="128"/>
      <c r="G62" s="128"/>
      <c r="H62" s="21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</row>
    <row r="63" spans="1:26" ht="14.4" x14ac:dyDescent="0.3">
      <c r="A63" s="128"/>
      <c r="B63" s="218"/>
      <c r="C63" s="128"/>
      <c r="D63" s="128"/>
      <c r="E63" s="128"/>
      <c r="F63" s="128"/>
      <c r="G63" s="128"/>
      <c r="H63" s="21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</row>
    <row r="64" spans="1:26" ht="14.4" x14ac:dyDescent="0.3">
      <c r="A64" s="128"/>
      <c r="B64" s="218"/>
      <c r="C64" s="128"/>
      <c r="D64" s="128"/>
      <c r="E64" s="128"/>
      <c r="F64" s="128"/>
      <c r="G64" s="128"/>
      <c r="H64" s="21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</row>
    <row r="65" spans="1:26" ht="14.4" x14ac:dyDescent="0.3">
      <c r="A65" s="128"/>
      <c r="B65" s="218"/>
      <c r="C65" s="128"/>
      <c r="D65" s="128"/>
      <c r="E65" s="128"/>
      <c r="F65" s="128"/>
      <c r="G65" s="128"/>
      <c r="H65" s="21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</row>
    <row r="66" spans="1:26" ht="14.4" x14ac:dyDescent="0.3">
      <c r="A66" s="128"/>
      <c r="B66" s="218"/>
      <c r="C66" s="128"/>
      <c r="D66" s="128"/>
      <c r="E66" s="128"/>
      <c r="F66" s="128"/>
      <c r="G66" s="128"/>
      <c r="H66" s="21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</row>
    <row r="67" spans="1:26" ht="14.4" x14ac:dyDescent="0.3">
      <c r="A67" s="128"/>
      <c r="B67" s="218"/>
      <c r="C67" s="128"/>
      <c r="D67" s="128"/>
      <c r="E67" s="128"/>
      <c r="F67" s="128"/>
      <c r="G67" s="128"/>
      <c r="H67" s="21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</row>
    <row r="68" spans="1:26" ht="14.4" x14ac:dyDescent="0.3">
      <c r="A68" s="128"/>
      <c r="B68" s="218"/>
      <c r="C68" s="128"/>
      <c r="D68" s="128"/>
      <c r="E68" s="128"/>
      <c r="F68" s="128"/>
      <c r="G68" s="128"/>
      <c r="H68" s="21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</row>
    <row r="69" spans="1:26" ht="14.4" x14ac:dyDescent="0.3">
      <c r="A69" s="128"/>
      <c r="B69" s="218"/>
      <c r="C69" s="128"/>
      <c r="D69" s="128"/>
      <c r="E69" s="128"/>
      <c r="F69" s="128"/>
      <c r="G69" s="128"/>
      <c r="H69" s="21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</row>
    <row r="70" spans="1:26" ht="14.4" x14ac:dyDescent="0.3">
      <c r="A70" s="128"/>
      <c r="B70" s="218"/>
      <c r="C70" s="128"/>
      <c r="D70" s="128"/>
      <c r="E70" s="128"/>
      <c r="F70" s="128"/>
      <c r="G70" s="128"/>
      <c r="H70" s="21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</row>
    <row r="71" spans="1:26" ht="14.4" x14ac:dyDescent="0.3">
      <c r="A71" s="128"/>
      <c r="B71" s="218"/>
      <c r="C71" s="128"/>
      <c r="D71" s="128"/>
      <c r="E71" s="128"/>
      <c r="F71" s="128"/>
      <c r="G71" s="128"/>
      <c r="H71" s="21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</row>
    <row r="72" spans="1:26" ht="14.4" x14ac:dyDescent="0.3">
      <c r="A72" s="128"/>
      <c r="B72" s="218"/>
      <c r="C72" s="128"/>
      <c r="D72" s="128"/>
      <c r="E72" s="128"/>
      <c r="F72" s="128"/>
      <c r="G72" s="128"/>
      <c r="H72" s="21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</row>
    <row r="73" spans="1:26" ht="14.4" x14ac:dyDescent="0.3">
      <c r="A73" s="128"/>
      <c r="B73" s="218"/>
      <c r="C73" s="128"/>
      <c r="D73" s="128"/>
      <c r="E73" s="128"/>
      <c r="F73" s="128"/>
      <c r="G73" s="128"/>
      <c r="H73" s="21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</row>
    <row r="74" spans="1:26" ht="14.4" x14ac:dyDescent="0.3">
      <c r="A74" s="128"/>
      <c r="B74" s="218"/>
      <c r="C74" s="128"/>
      <c r="D74" s="128"/>
      <c r="E74" s="128"/>
      <c r="F74" s="128"/>
      <c r="G74" s="128"/>
      <c r="H74" s="21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</row>
    <row r="75" spans="1:26" ht="14.4" x14ac:dyDescent="0.3">
      <c r="A75" s="128"/>
      <c r="B75" s="218"/>
      <c r="C75" s="128"/>
      <c r="D75" s="128"/>
      <c r="E75" s="128"/>
      <c r="F75" s="128"/>
      <c r="G75" s="128"/>
      <c r="H75" s="21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</row>
    <row r="76" spans="1:26" ht="14.4" x14ac:dyDescent="0.3">
      <c r="A76" s="128"/>
      <c r="B76" s="218"/>
      <c r="C76" s="128"/>
      <c r="D76" s="128"/>
      <c r="E76" s="128"/>
      <c r="F76" s="128"/>
      <c r="G76" s="128"/>
      <c r="H76" s="21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</row>
    <row r="77" spans="1:26" ht="14.4" x14ac:dyDescent="0.3">
      <c r="A77" s="128"/>
      <c r="B77" s="218"/>
      <c r="C77" s="128"/>
      <c r="D77" s="128"/>
      <c r="E77" s="128"/>
      <c r="F77" s="128"/>
      <c r="G77" s="128"/>
      <c r="H77" s="21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</row>
    <row r="78" spans="1:26" ht="14.4" x14ac:dyDescent="0.3">
      <c r="A78" s="128"/>
      <c r="B78" s="218"/>
      <c r="C78" s="128"/>
      <c r="D78" s="128"/>
      <c r="E78" s="128"/>
      <c r="F78" s="128"/>
      <c r="G78" s="128"/>
      <c r="H78" s="21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</row>
    <row r="79" spans="1:26" ht="14.4" x14ac:dyDescent="0.3">
      <c r="A79" s="128"/>
      <c r="B79" s="218"/>
      <c r="C79" s="128"/>
      <c r="D79" s="128"/>
      <c r="E79" s="128"/>
      <c r="F79" s="128"/>
      <c r="G79" s="128"/>
      <c r="H79" s="21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</row>
    <row r="80" spans="1:26" ht="14.4" x14ac:dyDescent="0.3">
      <c r="A80" s="128"/>
      <c r="B80" s="218"/>
      <c r="C80" s="128"/>
      <c r="D80" s="128"/>
      <c r="E80" s="128"/>
      <c r="F80" s="128"/>
      <c r="G80" s="128"/>
      <c r="H80" s="21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</row>
    <row r="81" spans="1:26" ht="14.4" x14ac:dyDescent="0.3">
      <c r="A81" s="128"/>
      <c r="B81" s="218"/>
      <c r="C81" s="128"/>
      <c r="D81" s="128"/>
      <c r="E81" s="128"/>
      <c r="F81" s="128"/>
      <c r="G81" s="128"/>
      <c r="H81" s="21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</row>
    <row r="82" spans="1:26" ht="14.4" x14ac:dyDescent="0.3">
      <c r="A82" s="128"/>
      <c r="B82" s="218"/>
      <c r="C82" s="128"/>
      <c r="D82" s="128"/>
      <c r="E82" s="128"/>
      <c r="F82" s="128"/>
      <c r="G82" s="128"/>
      <c r="H82" s="21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</row>
    <row r="83" spans="1:26" ht="14.4" x14ac:dyDescent="0.3">
      <c r="A83" s="128"/>
      <c r="B83" s="218"/>
      <c r="C83" s="128"/>
      <c r="D83" s="128"/>
      <c r="E83" s="128"/>
      <c r="F83" s="128"/>
      <c r="G83" s="128"/>
      <c r="H83" s="21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</row>
    <row r="84" spans="1:26" ht="14.4" x14ac:dyDescent="0.3">
      <c r="A84" s="128"/>
      <c r="B84" s="218"/>
      <c r="C84" s="128"/>
      <c r="D84" s="128"/>
      <c r="E84" s="128"/>
      <c r="F84" s="128"/>
      <c r="G84" s="128"/>
      <c r="H84" s="21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</row>
    <row r="85" spans="1:26" ht="14.4" x14ac:dyDescent="0.3">
      <c r="A85" s="128"/>
      <c r="B85" s="218"/>
      <c r="C85" s="128"/>
      <c r="D85" s="128"/>
      <c r="E85" s="128"/>
      <c r="F85" s="128"/>
      <c r="G85" s="128"/>
      <c r="H85" s="21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</row>
    <row r="86" spans="1:26" ht="14.4" x14ac:dyDescent="0.3">
      <c r="A86" s="128"/>
      <c r="B86" s="218"/>
      <c r="C86" s="128"/>
      <c r="D86" s="128"/>
      <c r="E86" s="128"/>
      <c r="F86" s="128"/>
      <c r="G86" s="128"/>
      <c r="H86" s="21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</row>
    <row r="87" spans="1:26" ht="14.4" x14ac:dyDescent="0.3">
      <c r="A87" s="128"/>
      <c r="B87" s="218"/>
      <c r="C87" s="128"/>
      <c r="D87" s="128"/>
      <c r="E87" s="128"/>
      <c r="F87" s="128"/>
      <c r="G87" s="128"/>
      <c r="H87" s="21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</row>
    <row r="88" spans="1:26" ht="14.4" x14ac:dyDescent="0.3">
      <c r="A88" s="128"/>
      <c r="B88" s="218"/>
      <c r="C88" s="128"/>
      <c r="D88" s="128"/>
      <c r="E88" s="128"/>
      <c r="F88" s="128"/>
      <c r="G88" s="128"/>
      <c r="H88" s="21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</row>
    <row r="89" spans="1:26" ht="14.4" x14ac:dyDescent="0.3">
      <c r="A89" s="128"/>
      <c r="B89" s="218"/>
      <c r="C89" s="128"/>
      <c r="D89" s="128"/>
      <c r="E89" s="128"/>
      <c r="F89" s="128"/>
      <c r="G89" s="128"/>
      <c r="H89" s="21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</row>
    <row r="90" spans="1:26" ht="14.4" x14ac:dyDescent="0.3">
      <c r="A90" s="128"/>
      <c r="B90" s="218"/>
      <c r="C90" s="128"/>
      <c r="D90" s="128"/>
      <c r="E90" s="128"/>
      <c r="F90" s="128"/>
      <c r="G90" s="128"/>
      <c r="H90" s="21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</row>
    <row r="91" spans="1:26" ht="14.4" x14ac:dyDescent="0.3">
      <c r="A91" s="128"/>
      <c r="B91" s="218"/>
      <c r="C91" s="128"/>
      <c r="D91" s="128"/>
      <c r="E91" s="128"/>
      <c r="F91" s="128"/>
      <c r="G91" s="128"/>
      <c r="H91" s="21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</row>
    <row r="92" spans="1:26" ht="14.4" x14ac:dyDescent="0.3">
      <c r="A92" s="128"/>
      <c r="B92" s="218"/>
      <c r="C92" s="128"/>
      <c r="D92" s="128"/>
      <c r="E92" s="128"/>
      <c r="F92" s="128"/>
      <c r="G92" s="128"/>
      <c r="H92" s="21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</row>
    <row r="93" spans="1:26" ht="14.4" x14ac:dyDescent="0.3">
      <c r="A93" s="128"/>
      <c r="B93" s="218"/>
      <c r="C93" s="128"/>
      <c r="D93" s="128"/>
      <c r="E93" s="128"/>
      <c r="F93" s="128"/>
      <c r="G93" s="128"/>
      <c r="H93" s="21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</row>
    <row r="94" spans="1:26" ht="14.4" x14ac:dyDescent="0.3">
      <c r="A94" s="128"/>
      <c r="B94" s="218"/>
      <c r="C94" s="128"/>
      <c r="D94" s="128"/>
      <c r="E94" s="128"/>
      <c r="F94" s="128"/>
      <c r="G94" s="128"/>
      <c r="H94" s="21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</row>
    <row r="95" spans="1:26" ht="14.4" x14ac:dyDescent="0.3">
      <c r="A95" s="128"/>
      <c r="B95" s="218"/>
      <c r="C95" s="128"/>
      <c r="D95" s="128"/>
      <c r="E95" s="128"/>
      <c r="F95" s="128"/>
      <c r="G95" s="128"/>
      <c r="H95" s="21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</row>
    <row r="96" spans="1:26" ht="14.4" x14ac:dyDescent="0.3">
      <c r="A96" s="128"/>
      <c r="B96" s="218"/>
      <c r="C96" s="128"/>
      <c r="D96" s="128"/>
      <c r="E96" s="128"/>
      <c r="F96" s="128"/>
      <c r="G96" s="128"/>
      <c r="H96" s="21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</row>
    <row r="97" spans="1:26" ht="14.4" x14ac:dyDescent="0.3">
      <c r="A97" s="128"/>
      <c r="B97" s="218"/>
      <c r="C97" s="128"/>
      <c r="D97" s="128"/>
      <c r="E97" s="128"/>
      <c r="F97" s="128"/>
      <c r="G97" s="128"/>
      <c r="H97" s="21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</row>
    <row r="98" spans="1:26" ht="14.4" x14ac:dyDescent="0.3">
      <c r="A98" s="128"/>
      <c r="B98" s="218"/>
      <c r="C98" s="128"/>
      <c r="D98" s="128"/>
      <c r="E98" s="128"/>
      <c r="F98" s="128"/>
      <c r="G98" s="128"/>
      <c r="H98" s="21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</row>
    <row r="99" spans="1:26" ht="14.4" x14ac:dyDescent="0.3">
      <c r="A99" s="128"/>
      <c r="B99" s="218"/>
      <c r="C99" s="128"/>
      <c r="D99" s="128"/>
      <c r="E99" s="128"/>
      <c r="F99" s="128"/>
      <c r="G99" s="128"/>
      <c r="H99" s="21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</row>
    <row r="100" spans="1:26" ht="14.4" x14ac:dyDescent="0.3">
      <c r="A100" s="128"/>
      <c r="B100" s="218"/>
      <c r="C100" s="128"/>
      <c r="D100" s="128"/>
      <c r="E100" s="128"/>
      <c r="F100" s="128"/>
      <c r="G100" s="128"/>
      <c r="H100" s="21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</row>
    <row r="101" spans="1:26" ht="14.4" x14ac:dyDescent="0.3">
      <c r="A101" s="128"/>
      <c r="B101" s="218"/>
      <c r="C101" s="128"/>
      <c r="D101" s="128"/>
      <c r="E101" s="128"/>
      <c r="F101" s="128"/>
      <c r="G101" s="128"/>
      <c r="H101" s="21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</row>
    <row r="102" spans="1:26" ht="14.4" x14ac:dyDescent="0.3">
      <c r="A102" s="128"/>
      <c r="B102" s="218"/>
      <c r="C102" s="128"/>
      <c r="D102" s="128"/>
      <c r="E102" s="128"/>
      <c r="F102" s="128"/>
      <c r="G102" s="128"/>
      <c r="H102" s="21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</row>
    <row r="103" spans="1:26" ht="14.4" x14ac:dyDescent="0.3">
      <c r="A103" s="128"/>
      <c r="B103" s="218"/>
      <c r="C103" s="128"/>
      <c r="D103" s="128"/>
      <c r="E103" s="128"/>
      <c r="F103" s="128"/>
      <c r="G103" s="128"/>
      <c r="H103" s="21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</row>
    <row r="104" spans="1:26" ht="14.4" x14ac:dyDescent="0.3">
      <c r="A104" s="128"/>
      <c r="B104" s="218"/>
      <c r="C104" s="128"/>
      <c r="D104" s="128"/>
      <c r="E104" s="128"/>
      <c r="F104" s="128"/>
      <c r="G104" s="128"/>
      <c r="H104" s="21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</row>
    <row r="105" spans="1:26" ht="14.4" x14ac:dyDescent="0.3">
      <c r="A105" s="128"/>
      <c r="B105" s="218"/>
      <c r="C105" s="128"/>
      <c r="D105" s="128"/>
      <c r="E105" s="128"/>
      <c r="F105" s="128"/>
      <c r="G105" s="128"/>
      <c r="H105" s="21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</row>
    <row r="106" spans="1:26" ht="14.4" x14ac:dyDescent="0.3">
      <c r="A106" s="128"/>
      <c r="B106" s="218"/>
      <c r="C106" s="128"/>
      <c r="D106" s="128"/>
      <c r="E106" s="128"/>
      <c r="F106" s="128"/>
      <c r="G106" s="128"/>
      <c r="H106" s="21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</row>
    <row r="107" spans="1:26" ht="14.4" x14ac:dyDescent="0.3">
      <c r="A107" s="128"/>
      <c r="B107" s="218"/>
      <c r="C107" s="128"/>
      <c r="D107" s="128"/>
      <c r="E107" s="128"/>
      <c r="F107" s="128"/>
      <c r="G107" s="128"/>
      <c r="H107" s="21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</row>
    <row r="108" spans="1:26" ht="14.4" x14ac:dyDescent="0.3">
      <c r="A108" s="128"/>
      <c r="B108" s="218"/>
      <c r="C108" s="128"/>
      <c r="D108" s="128"/>
      <c r="E108" s="128"/>
      <c r="F108" s="128"/>
      <c r="G108" s="128"/>
      <c r="H108" s="21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</row>
    <row r="109" spans="1:26" ht="14.4" x14ac:dyDescent="0.3">
      <c r="A109" s="128"/>
      <c r="B109" s="218"/>
      <c r="C109" s="128"/>
      <c r="D109" s="128"/>
      <c r="E109" s="128"/>
      <c r="F109" s="128"/>
      <c r="G109" s="128"/>
      <c r="H109" s="21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</row>
    <row r="110" spans="1:26" ht="14.4" x14ac:dyDescent="0.3">
      <c r="A110" s="128"/>
      <c r="B110" s="218"/>
      <c r="C110" s="128"/>
      <c r="D110" s="128"/>
      <c r="E110" s="128"/>
      <c r="F110" s="128"/>
      <c r="G110" s="128"/>
      <c r="H110" s="21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</row>
    <row r="111" spans="1:26" ht="14.4" x14ac:dyDescent="0.3">
      <c r="A111" s="128"/>
      <c r="B111" s="218"/>
      <c r="C111" s="128"/>
      <c r="D111" s="128"/>
      <c r="E111" s="128"/>
      <c r="F111" s="128"/>
      <c r="G111" s="128"/>
      <c r="H111" s="21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</row>
    <row r="112" spans="1:26" ht="14.4" x14ac:dyDescent="0.3">
      <c r="A112" s="128"/>
      <c r="B112" s="218"/>
      <c r="C112" s="128"/>
      <c r="D112" s="128"/>
      <c r="E112" s="128"/>
      <c r="F112" s="128"/>
      <c r="G112" s="128"/>
      <c r="H112" s="21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</row>
    <row r="113" spans="1:26" ht="14.4" x14ac:dyDescent="0.3">
      <c r="A113" s="128"/>
      <c r="B113" s="218"/>
      <c r="C113" s="128"/>
      <c r="D113" s="128"/>
      <c r="E113" s="128"/>
      <c r="F113" s="128"/>
      <c r="G113" s="128"/>
      <c r="H113" s="21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</row>
    <row r="114" spans="1:26" ht="14.4" x14ac:dyDescent="0.3">
      <c r="A114" s="128"/>
      <c r="B114" s="218"/>
      <c r="C114" s="128"/>
      <c r="D114" s="128"/>
      <c r="E114" s="128"/>
      <c r="F114" s="128"/>
      <c r="G114" s="128"/>
      <c r="H114" s="21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</row>
    <row r="115" spans="1:26" ht="14.4" x14ac:dyDescent="0.3">
      <c r="A115" s="128"/>
      <c r="B115" s="218"/>
      <c r="C115" s="128"/>
      <c r="D115" s="128"/>
      <c r="E115" s="128"/>
      <c r="F115" s="128"/>
      <c r="G115" s="128"/>
      <c r="H115" s="21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</row>
    <row r="116" spans="1:26" ht="14.4" x14ac:dyDescent="0.3">
      <c r="A116" s="128"/>
      <c r="B116" s="218"/>
      <c r="C116" s="128"/>
      <c r="D116" s="128"/>
      <c r="E116" s="128"/>
      <c r="F116" s="128"/>
      <c r="G116" s="128"/>
      <c r="H116" s="21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</row>
    <row r="117" spans="1:26" ht="14.4" x14ac:dyDescent="0.3">
      <c r="A117" s="128"/>
      <c r="B117" s="218"/>
      <c r="C117" s="128"/>
      <c r="D117" s="128"/>
      <c r="E117" s="128"/>
      <c r="F117" s="128"/>
      <c r="G117" s="128"/>
      <c r="H117" s="21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</row>
    <row r="118" spans="1:26" ht="14.4" x14ac:dyDescent="0.3">
      <c r="A118" s="128"/>
      <c r="B118" s="218"/>
      <c r="C118" s="128"/>
      <c r="D118" s="128"/>
      <c r="E118" s="128"/>
      <c r="F118" s="128"/>
      <c r="G118" s="128"/>
      <c r="H118" s="21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</row>
    <row r="119" spans="1:26" ht="14.4" x14ac:dyDescent="0.3">
      <c r="A119" s="128"/>
      <c r="B119" s="218"/>
      <c r="C119" s="128"/>
      <c r="D119" s="128"/>
      <c r="E119" s="128"/>
      <c r="F119" s="128"/>
      <c r="G119" s="128"/>
      <c r="H119" s="21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</row>
    <row r="120" spans="1:26" ht="14.4" x14ac:dyDescent="0.3">
      <c r="A120" s="128"/>
      <c r="B120" s="218"/>
      <c r="C120" s="128"/>
      <c r="D120" s="128"/>
      <c r="E120" s="128"/>
      <c r="F120" s="128"/>
      <c r="G120" s="128"/>
      <c r="H120" s="21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</row>
    <row r="121" spans="1:26" ht="14.4" x14ac:dyDescent="0.3">
      <c r="A121" s="128"/>
      <c r="B121" s="218"/>
      <c r="C121" s="128"/>
      <c r="D121" s="128"/>
      <c r="E121" s="128"/>
      <c r="F121" s="128"/>
      <c r="G121" s="128"/>
      <c r="H121" s="21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</row>
    <row r="122" spans="1:26" ht="14.4" x14ac:dyDescent="0.3">
      <c r="A122" s="128"/>
      <c r="B122" s="218"/>
      <c r="C122" s="128"/>
      <c r="D122" s="128"/>
      <c r="E122" s="128"/>
      <c r="F122" s="128"/>
      <c r="G122" s="128"/>
      <c r="H122" s="21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</row>
    <row r="123" spans="1:26" ht="14.4" x14ac:dyDescent="0.3">
      <c r="A123" s="128"/>
      <c r="B123" s="218"/>
      <c r="C123" s="128"/>
      <c r="D123" s="128"/>
      <c r="E123" s="128"/>
      <c r="F123" s="128"/>
      <c r="G123" s="128"/>
      <c r="H123" s="21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</row>
    <row r="124" spans="1:26" ht="14.4" x14ac:dyDescent="0.3">
      <c r="A124" s="128"/>
      <c r="B124" s="218"/>
      <c r="C124" s="128"/>
      <c r="D124" s="128"/>
      <c r="E124" s="128"/>
      <c r="F124" s="128"/>
      <c r="G124" s="128"/>
      <c r="H124" s="21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</row>
    <row r="125" spans="1:26" ht="14.4" x14ac:dyDescent="0.3">
      <c r="A125" s="128"/>
      <c r="B125" s="218"/>
      <c r="C125" s="128"/>
      <c r="D125" s="128"/>
      <c r="E125" s="128"/>
      <c r="F125" s="128"/>
      <c r="G125" s="128"/>
      <c r="H125" s="21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</row>
    <row r="126" spans="1:26" ht="14.4" x14ac:dyDescent="0.3">
      <c r="A126" s="128"/>
      <c r="B126" s="218"/>
      <c r="C126" s="128"/>
      <c r="D126" s="128"/>
      <c r="E126" s="128"/>
      <c r="F126" s="128"/>
      <c r="G126" s="128"/>
      <c r="H126" s="21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</row>
    <row r="127" spans="1:26" ht="14.4" x14ac:dyDescent="0.3">
      <c r="A127" s="128"/>
      <c r="B127" s="218"/>
      <c r="C127" s="128"/>
      <c r="D127" s="128"/>
      <c r="E127" s="128"/>
      <c r="F127" s="128"/>
      <c r="G127" s="128"/>
      <c r="H127" s="21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</row>
    <row r="128" spans="1:26" ht="14.4" x14ac:dyDescent="0.3">
      <c r="A128" s="128"/>
      <c r="B128" s="218"/>
      <c r="C128" s="128"/>
      <c r="D128" s="128"/>
      <c r="E128" s="128"/>
      <c r="F128" s="128"/>
      <c r="G128" s="128"/>
      <c r="H128" s="21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</row>
    <row r="129" spans="1:26" ht="14.4" x14ac:dyDescent="0.3">
      <c r="A129" s="128"/>
      <c r="B129" s="218"/>
      <c r="C129" s="128"/>
      <c r="D129" s="128"/>
      <c r="E129" s="128"/>
      <c r="F129" s="128"/>
      <c r="G129" s="128"/>
      <c r="H129" s="21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</row>
    <row r="130" spans="1:26" ht="14.4" x14ac:dyDescent="0.3">
      <c r="A130" s="128"/>
      <c r="B130" s="218"/>
      <c r="C130" s="128"/>
      <c r="D130" s="128"/>
      <c r="E130" s="128"/>
      <c r="F130" s="128"/>
      <c r="G130" s="128"/>
      <c r="H130" s="21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</row>
    <row r="131" spans="1:26" ht="14.4" x14ac:dyDescent="0.3">
      <c r="A131" s="128"/>
      <c r="B131" s="218"/>
      <c r="C131" s="128"/>
      <c r="D131" s="128"/>
      <c r="E131" s="128"/>
      <c r="F131" s="128"/>
      <c r="G131" s="128"/>
      <c r="H131" s="21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</row>
    <row r="132" spans="1:26" ht="14.4" x14ac:dyDescent="0.3">
      <c r="A132" s="128"/>
      <c r="B132" s="218"/>
      <c r="C132" s="128"/>
      <c r="D132" s="128"/>
      <c r="E132" s="128"/>
      <c r="F132" s="128"/>
      <c r="G132" s="128"/>
      <c r="H132" s="21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</row>
    <row r="133" spans="1:26" ht="14.4" x14ac:dyDescent="0.3">
      <c r="A133" s="128"/>
      <c r="B133" s="218"/>
      <c r="C133" s="128"/>
      <c r="D133" s="128"/>
      <c r="E133" s="128"/>
      <c r="F133" s="128"/>
      <c r="G133" s="128"/>
      <c r="H133" s="21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</row>
    <row r="134" spans="1:26" ht="14.4" x14ac:dyDescent="0.3">
      <c r="A134" s="128"/>
      <c r="B134" s="218"/>
      <c r="C134" s="128"/>
      <c r="D134" s="128"/>
      <c r="E134" s="128"/>
      <c r="F134" s="128"/>
      <c r="G134" s="128"/>
      <c r="H134" s="21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</row>
    <row r="135" spans="1:26" ht="14.4" x14ac:dyDescent="0.3">
      <c r="A135" s="128"/>
      <c r="B135" s="218"/>
      <c r="C135" s="128"/>
      <c r="D135" s="128"/>
      <c r="E135" s="128"/>
      <c r="F135" s="128"/>
      <c r="G135" s="128"/>
      <c r="H135" s="21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</row>
    <row r="136" spans="1:26" ht="14.4" x14ac:dyDescent="0.3">
      <c r="A136" s="128"/>
      <c r="B136" s="218"/>
      <c r="C136" s="128"/>
      <c r="D136" s="128"/>
      <c r="E136" s="128"/>
      <c r="F136" s="128"/>
      <c r="G136" s="128"/>
      <c r="H136" s="21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</row>
    <row r="137" spans="1:26" ht="14.4" x14ac:dyDescent="0.3">
      <c r="A137" s="128"/>
      <c r="B137" s="218"/>
      <c r="C137" s="128"/>
      <c r="D137" s="128"/>
      <c r="E137" s="128"/>
      <c r="F137" s="128"/>
      <c r="G137" s="128"/>
      <c r="H137" s="21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</row>
    <row r="138" spans="1:26" ht="14.4" x14ac:dyDescent="0.3">
      <c r="A138" s="128"/>
      <c r="B138" s="218"/>
      <c r="C138" s="128"/>
      <c r="D138" s="128"/>
      <c r="E138" s="128"/>
      <c r="F138" s="128"/>
      <c r="G138" s="128"/>
      <c r="H138" s="21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</row>
    <row r="139" spans="1:26" ht="14.4" x14ac:dyDescent="0.3">
      <c r="A139" s="128"/>
      <c r="B139" s="218"/>
      <c r="C139" s="128"/>
      <c r="D139" s="128"/>
      <c r="E139" s="128"/>
      <c r="F139" s="128"/>
      <c r="G139" s="128"/>
      <c r="H139" s="21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</row>
    <row r="140" spans="1:26" ht="14.4" x14ac:dyDescent="0.3">
      <c r="A140" s="128"/>
      <c r="B140" s="218"/>
      <c r="C140" s="128"/>
      <c r="D140" s="128"/>
      <c r="E140" s="128"/>
      <c r="F140" s="128"/>
      <c r="G140" s="128"/>
      <c r="H140" s="21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</row>
    <row r="141" spans="1:26" ht="14.4" x14ac:dyDescent="0.3">
      <c r="A141" s="128"/>
      <c r="B141" s="218"/>
      <c r="C141" s="128"/>
      <c r="D141" s="128"/>
      <c r="E141" s="128"/>
      <c r="F141" s="128"/>
      <c r="G141" s="128"/>
      <c r="H141" s="21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</row>
    <row r="142" spans="1:26" ht="14.4" x14ac:dyDescent="0.3">
      <c r="A142" s="128"/>
      <c r="B142" s="218"/>
      <c r="C142" s="128"/>
      <c r="D142" s="128"/>
      <c r="E142" s="128"/>
      <c r="F142" s="128"/>
      <c r="G142" s="128"/>
      <c r="H142" s="21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</row>
    <row r="143" spans="1:26" ht="14.4" x14ac:dyDescent="0.3">
      <c r="A143" s="128"/>
      <c r="B143" s="218"/>
      <c r="C143" s="128"/>
      <c r="D143" s="128"/>
      <c r="E143" s="128"/>
      <c r="F143" s="128"/>
      <c r="G143" s="128"/>
      <c r="H143" s="21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</row>
    <row r="144" spans="1:26" ht="14.4" x14ac:dyDescent="0.3">
      <c r="A144" s="128"/>
      <c r="B144" s="218"/>
      <c r="C144" s="128"/>
      <c r="D144" s="128"/>
      <c r="E144" s="128"/>
      <c r="F144" s="128"/>
      <c r="G144" s="128"/>
      <c r="H144" s="21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</row>
    <row r="145" spans="1:26" ht="14.4" x14ac:dyDescent="0.3">
      <c r="A145" s="128"/>
      <c r="B145" s="218"/>
      <c r="C145" s="128"/>
      <c r="D145" s="128"/>
      <c r="E145" s="128"/>
      <c r="F145" s="128"/>
      <c r="G145" s="128"/>
      <c r="H145" s="21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</row>
    <row r="146" spans="1:26" ht="14.4" x14ac:dyDescent="0.3">
      <c r="A146" s="128"/>
      <c r="B146" s="218"/>
      <c r="C146" s="128"/>
      <c r="D146" s="128"/>
      <c r="E146" s="128"/>
      <c r="F146" s="128"/>
      <c r="G146" s="128"/>
      <c r="H146" s="21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</row>
    <row r="147" spans="1:26" ht="14.4" x14ac:dyDescent="0.3">
      <c r="A147" s="128"/>
      <c r="B147" s="218"/>
      <c r="C147" s="128"/>
      <c r="D147" s="128"/>
      <c r="E147" s="128"/>
      <c r="F147" s="128"/>
      <c r="G147" s="128"/>
      <c r="H147" s="21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</row>
    <row r="148" spans="1:26" ht="14.4" x14ac:dyDescent="0.3">
      <c r="A148" s="128"/>
      <c r="B148" s="218"/>
      <c r="C148" s="128"/>
      <c r="D148" s="128"/>
      <c r="E148" s="128"/>
      <c r="F148" s="128"/>
      <c r="G148" s="128"/>
      <c r="H148" s="21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</row>
    <row r="149" spans="1:26" ht="14.4" x14ac:dyDescent="0.3">
      <c r="A149" s="128"/>
      <c r="B149" s="218"/>
      <c r="C149" s="128"/>
      <c r="D149" s="128"/>
      <c r="E149" s="128"/>
      <c r="F149" s="128"/>
      <c r="G149" s="128"/>
      <c r="H149" s="21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</row>
    <row r="150" spans="1:26" ht="14.4" x14ac:dyDescent="0.3">
      <c r="A150" s="128"/>
      <c r="B150" s="218"/>
      <c r="C150" s="128"/>
      <c r="D150" s="128"/>
      <c r="E150" s="128"/>
      <c r="F150" s="128"/>
      <c r="G150" s="128"/>
      <c r="H150" s="21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</row>
    <row r="151" spans="1:26" ht="14.4" x14ac:dyDescent="0.3">
      <c r="A151" s="128"/>
      <c r="B151" s="218"/>
      <c r="C151" s="128"/>
      <c r="D151" s="128"/>
      <c r="E151" s="128"/>
      <c r="F151" s="128"/>
      <c r="G151" s="128"/>
      <c r="H151" s="21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</row>
    <row r="152" spans="1:26" ht="14.4" x14ac:dyDescent="0.3">
      <c r="A152" s="128"/>
      <c r="B152" s="218"/>
      <c r="C152" s="128"/>
      <c r="D152" s="128"/>
      <c r="E152" s="128"/>
      <c r="F152" s="128"/>
      <c r="G152" s="128"/>
      <c r="H152" s="21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</row>
    <row r="153" spans="1:26" ht="14.4" x14ac:dyDescent="0.3">
      <c r="A153" s="128"/>
      <c r="B153" s="218"/>
      <c r="C153" s="128"/>
      <c r="D153" s="128"/>
      <c r="E153" s="128"/>
      <c r="F153" s="128"/>
      <c r="G153" s="128"/>
      <c r="H153" s="21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</row>
    <row r="154" spans="1:26" ht="14.4" x14ac:dyDescent="0.3">
      <c r="A154" s="128"/>
      <c r="B154" s="218"/>
      <c r="C154" s="128"/>
      <c r="D154" s="128"/>
      <c r="E154" s="128"/>
      <c r="F154" s="128"/>
      <c r="G154" s="128"/>
      <c r="H154" s="21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</row>
    <row r="155" spans="1:26" ht="14.4" x14ac:dyDescent="0.3">
      <c r="A155" s="128"/>
      <c r="B155" s="218"/>
      <c r="C155" s="128"/>
      <c r="D155" s="128"/>
      <c r="E155" s="128"/>
      <c r="F155" s="128"/>
      <c r="G155" s="128"/>
      <c r="H155" s="21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</row>
    <row r="156" spans="1:26" ht="14.4" x14ac:dyDescent="0.3">
      <c r="A156" s="128"/>
      <c r="B156" s="218"/>
      <c r="C156" s="128"/>
      <c r="D156" s="128"/>
      <c r="E156" s="128"/>
      <c r="F156" s="128"/>
      <c r="G156" s="128"/>
      <c r="H156" s="21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</row>
    <row r="157" spans="1:26" ht="14.4" x14ac:dyDescent="0.3">
      <c r="A157" s="128"/>
      <c r="B157" s="218"/>
      <c r="C157" s="128"/>
      <c r="D157" s="128"/>
      <c r="E157" s="128"/>
      <c r="F157" s="128"/>
      <c r="G157" s="128"/>
      <c r="H157" s="21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</row>
    <row r="158" spans="1:26" ht="14.4" x14ac:dyDescent="0.3">
      <c r="A158" s="128"/>
      <c r="B158" s="218"/>
      <c r="C158" s="128"/>
      <c r="D158" s="128"/>
      <c r="E158" s="128"/>
      <c r="F158" s="128"/>
      <c r="G158" s="128"/>
      <c r="H158" s="21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</row>
    <row r="159" spans="1:26" ht="14.4" x14ac:dyDescent="0.3">
      <c r="A159" s="128"/>
      <c r="B159" s="218"/>
      <c r="C159" s="128"/>
      <c r="D159" s="128"/>
      <c r="E159" s="128"/>
      <c r="F159" s="128"/>
      <c r="G159" s="128"/>
      <c r="H159" s="21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</row>
    <row r="160" spans="1:26" ht="14.4" x14ac:dyDescent="0.3">
      <c r="A160" s="128"/>
      <c r="B160" s="218"/>
      <c r="C160" s="128"/>
      <c r="D160" s="128"/>
      <c r="E160" s="128"/>
      <c r="F160" s="128"/>
      <c r="G160" s="128"/>
      <c r="H160" s="21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</row>
    <row r="161" spans="1:26" ht="14.4" x14ac:dyDescent="0.3">
      <c r="A161" s="128"/>
      <c r="B161" s="218"/>
      <c r="C161" s="128"/>
      <c r="D161" s="128"/>
      <c r="E161" s="128"/>
      <c r="F161" s="128"/>
      <c r="G161" s="128"/>
      <c r="H161" s="21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</row>
    <row r="162" spans="1:26" ht="14.4" x14ac:dyDescent="0.3">
      <c r="A162" s="128"/>
      <c r="B162" s="218"/>
      <c r="C162" s="128"/>
      <c r="D162" s="128"/>
      <c r="E162" s="128"/>
      <c r="F162" s="128"/>
      <c r="G162" s="128"/>
      <c r="H162" s="21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</row>
    <row r="163" spans="1:26" ht="14.4" x14ac:dyDescent="0.3">
      <c r="A163" s="128"/>
      <c r="B163" s="218"/>
      <c r="C163" s="128"/>
      <c r="D163" s="128"/>
      <c r="E163" s="128"/>
      <c r="F163" s="128"/>
      <c r="G163" s="128"/>
      <c r="H163" s="21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</row>
    <row r="164" spans="1:26" ht="14.4" x14ac:dyDescent="0.3">
      <c r="A164" s="128"/>
      <c r="B164" s="218"/>
      <c r="C164" s="128"/>
      <c r="D164" s="128"/>
      <c r="E164" s="128"/>
      <c r="F164" s="128"/>
      <c r="G164" s="128"/>
      <c r="H164" s="21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</row>
    <row r="165" spans="1:26" ht="14.4" x14ac:dyDescent="0.3">
      <c r="A165" s="128"/>
      <c r="B165" s="218"/>
      <c r="C165" s="128"/>
      <c r="D165" s="128"/>
      <c r="E165" s="128"/>
      <c r="F165" s="128"/>
      <c r="G165" s="128"/>
      <c r="H165" s="21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</row>
    <row r="166" spans="1:26" ht="14.4" x14ac:dyDescent="0.3">
      <c r="A166" s="128"/>
      <c r="B166" s="218"/>
      <c r="C166" s="128"/>
      <c r="D166" s="128"/>
      <c r="E166" s="128"/>
      <c r="F166" s="128"/>
      <c r="G166" s="128"/>
      <c r="H166" s="21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</row>
    <row r="167" spans="1:26" ht="14.4" x14ac:dyDescent="0.3">
      <c r="A167" s="128"/>
      <c r="B167" s="218"/>
      <c r="C167" s="128"/>
      <c r="D167" s="128"/>
      <c r="E167" s="128"/>
      <c r="F167" s="128"/>
      <c r="G167" s="128"/>
      <c r="H167" s="21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</row>
    <row r="168" spans="1:26" ht="14.4" x14ac:dyDescent="0.3">
      <c r="A168" s="128"/>
      <c r="B168" s="218"/>
      <c r="C168" s="128"/>
      <c r="D168" s="128"/>
      <c r="E168" s="128"/>
      <c r="F168" s="128"/>
      <c r="G168" s="128"/>
      <c r="H168" s="21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</row>
    <row r="169" spans="1:26" ht="14.4" x14ac:dyDescent="0.3">
      <c r="A169" s="128"/>
      <c r="B169" s="218"/>
      <c r="C169" s="128"/>
      <c r="D169" s="128"/>
      <c r="E169" s="128"/>
      <c r="F169" s="128"/>
      <c r="G169" s="128"/>
      <c r="H169" s="21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</row>
    <row r="170" spans="1:26" ht="14.4" x14ac:dyDescent="0.3">
      <c r="A170" s="128"/>
      <c r="B170" s="218"/>
      <c r="C170" s="128"/>
      <c r="D170" s="128"/>
      <c r="E170" s="128"/>
      <c r="F170" s="128"/>
      <c r="G170" s="128"/>
      <c r="H170" s="21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</row>
    <row r="171" spans="1:26" ht="14.4" x14ac:dyDescent="0.3">
      <c r="A171" s="128"/>
      <c r="B171" s="218"/>
      <c r="C171" s="128"/>
      <c r="D171" s="128"/>
      <c r="E171" s="128"/>
      <c r="F171" s="128"/>
      <c r="G171" s="128"/>
      <c r="H171" s="21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</row>
    <row r="172" spans="1:26" ht="14.4" x14ac:dyDescent="0.3">
      <c r="A172" s="128"/>
      <c r="B172" s="218"/>
      <c r="C172" s="128"/>
      <c r="D172" s="128"/>
      <c r="E172" s="128"/>
      <c r="F172" s="128"/>
      <c r="G172" s="128"/>
      <c r="H172" s="21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</row>
    <row r="173" spans="1:26" ht="14.4" x14ac:dyDescent="0.3">
      <c r="A173" s="128"/>
      <c r="B173" s="218"/>
      <c r="C173" s="128"/>
      <c r="D173" s="128"/>
      <c r="E173" s="128"/>
      <c r="F173" s="128"/>
      <c r="G173" s="128"/>
      <c r="H173" s="21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</row>
    <row r="174" spans="1:26" ht="14.4" x14ac:dyDescent="0.3">
      <c r="A174" s="128"/>
      <c r="B174" s="218"/>
      <c r="C174" s="128"/>
      <c r="D174" s="128"/>
      <c r="E174" s="128"/>
      <c r="F174" s="128"/>
      <c r="G174" s="128"/>
      <c r="H174" s="21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</row>
    <row r="175" spans="1:26" ht="14.4" x14ac:dyDescent="0.3">
      <c r="A175" s="128"/>
      <c r="B175" s="218"/>
      <c r="C175" s="128"/>
      <c r="D175" s="128"/>
      <c r="E175" s="128"/>
      <c r="F175" s="128"/>
      <c r="G175" s="128"/>
      <c r="H175" s="21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</row>
    <row r="176" spans="1:26" ht="14.4" x14ac:dyDescent="0.3">
      <c r="A176" s="128"/>
      <c r="B176" s="218"/>
      <c r="C176" s="128"/>
      <c r="D176" s="128"/>
      <c r="E176" s="128"/>
      <c r="F176" s="128"/>
      <c r="G176" s="128"/>
      <c r="H176" s="21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</row>
    <row r="177" spans="1:26" ht="14.4" x14ac:dyDescent="0.3">
      <c r="A177" s="128"/>
      <c r="B177" s="218"/>
      <c r="C177" s="128"/>
      <c r="D177" s="128"/>
      <c r="E177" s="128"/>
      <c r="F177" s="128"/>
      <c r="G177" s="128"/>
      <c r="H177" s="21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</row>
    <row r="178" spans="1:26" ht="14.4" x14ac:dyDescent="0.3">
      <c r="A178" s="128"/>
      <c r="B178" s="218"/>
      <c r="C178" s="128"/>
      <c r="D178" s="128"/>
      <c r="E178" s="128"/>
      <c r="F178" s="128"/>
      <c r="G178" s="128"/>
      <c r="H178" s="21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</row>
    <row r="179" spans="1:26" ht="14.4" x14ac:dyDescent="0.3">
      <c r="A179" s="128"/>
      <c r="B179" s="218"/>
      <c r="C179" s="128"/>
      <c r="D179" s="128"/>
      <c r="E179" s="128"/>
      <c r="F179" s="128"/>
      <c r="G179" s="128"/>
      <c r="H179" s="21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</row>
    <row r="180" spans="1:26" ht="14.4" x14ac:dyDescent="0.3">
      <c r="A180" s="128"/>
      <c r="B180" s="218"/>
      <c r="C180" s="128"/>
      <c r="D180" s="128"/>
      <c r="E180" s="128"/>
      <c r="F180" s="128"/>
      <c r="G180" s="128"/>
      <c r="H180" s="21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</row>
    <row r="181" spans="1:26" ht="14.4" x14ac:dyDescent="0.3">
      <c r="A181" s="128"/>
      <c r="B181" s="218"/>
      <c r="C181" s="128"/>
      <c r="D181" s="128"/>
      <c r="E181" s="128"/>
      <c r="F181" s="128"/>
      <c r="G181" s="128"/>
      <c r="H181" s="21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</row>
    <row r="182" spans="1:26" ht="14.4" x14ac:dyDescent="0.3">
      <c r="A182" s="128"/>
      <c r="B182" s="218"/>
      <c r="C182" s="128"/>
      <c r="D182" s="128"/>
      <c r="E182" s="128"/>
      <c r="F182" s="128"/>
      <c r="G182" s="128"/>
      <c r="H182" s="21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</row>
    <row r="183" spans="1:26" ht="14.4" x14ac:dyDescent="0.3">
      <c r="A183" s="128"/>
      <c r="B183" s="218"/>
      <c r="C183" s="128"/>
      <c r="D183" s="128"/>
      <c r="E183" s="128"/>
      <c r="F183" s="128"/>
      <c r="G183" s="128"/>
      <c r="H183" s="21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</row>
    <row r="184" spans="1:26" ht="14.4" x14ac:dyDescent="0.3">
      <c r="A184" s="128"/>
      <c r="B184" s="218"/>
      <c r="C184" s="128"/>
      <c r="D184" s="128"/>
      <c r="E184" s="128"/>
      <c r="F184" s="128"/>
      <c r="G184" s="128"/>
      <c r="H184" s="21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</row>
    <row r="185" spans="1:26" ht="14.4" x14ac:dyDescent="0.3">
      <c r="A185" s="128"/>
      <c r="B185" s="218"/>
      <c r="C185" s="128"/>
      <c r="D185" s="128"/>
      <c r="E185" s="128"/>
      <c r="F185" s="128"/>
      <c r="G185" s="128"/>
      <c r="H185" s="21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</row>
    <row r="186" spans="1:26" ht="14.4" x14ac:dyDescent="0.3">
      <c r="A186" s="128"/>
      <c r="B186" s="218"/>
      <c r="C186" s="128"/>
      <c r="D186" s="128"/>
      <c r="E186" s="128"/>
      <c r="F186" s="128"/>
      <c r="G186" s="128"/>
      <c r="H186" s="21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</row>
    <row r="187" spans="1:26" ht="14.4" x14ac:dyDescent="0.3">
      <c r="A187" s="128"/>
      <c r="B187" s="218"/>
      <c r="C187" s="128"/>
      <c r="D187" s="128"/>
      <c r="E187" s="128"/>
      <c r="F187" s="128"/>
      <c r="G187" s="128"/>
      <c r="H187" s="21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</row>
    <row r="188" spans="1:26" ht="14.4" x14ac:dyDescent="0.3">
      <c r="A188" s="128"/>
      <c r="B188" s="218"/>
      <c r="C188" s="128"/>
      <c r="D188" s="128"/>
      <c r="E188" s="128"/>
      <c r="F188" s="128"/>
      <c r="G188" s="128"/>
      <c r="H188" s="21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</row>
    <row r="189" spans="1:26" ht="14.4" x14ac:dyDescent="0.3">
      <c r="A189" s="128"/>
      <c r="B189" s="218"/>
      <c r="C189" s="128"/>
      <c r="D189" s="128"/>
      <c r="E189" s="128"/>
      <c r="F189" s="128"/>
      <c r="G189" s="128"/>
      <c r="H189" s="21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</row>
    <row r="190" spans="1:26" ht="14.4" x14ac:dyDescent="0.3">
      <c r="A190" s="128"/>
      <c r="B190" s="218"/>
      <c r="C190" s="128"/>
      <c r="D190" s="128"/>
      <c r="E190" s="128"/>
      <c r="F190" s="128"/>
      <c r="G190" s="128"/>
      <c r="H190" s="21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</row>
    <row r="191" spans="1:26" ht="14.4" x14ac:dyDescent="0.3">
      <c r="A191" s="128"/>
      <c r="B191" s="218"/>
      <c r="C191" s="128"/>
      <c r="D191" s="128"/>
      <c r="E191" s="128"/>
      <c r="F191" s="128"/>
      <c r="G191" s="128"/>
      <c r="H191" s="21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</row>
    <row r="192" spans="1:26" ht="14.4" x14ac:dyDescent="0.3">
      <c r="A192" s="128"/>
      <c r="B192" s="218"/>
      <c r="C192" s="128"/>
      <c r="D192" s="128"/>
      <c r="E192" s="128"/>
      <c r="F192" s="128"/>
      <c r="G192" s="128"/>
      <c r="H192" s="21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</row>
    <row r="193" spans="1:26" ht="14.4" x14ac:dyDescent="0.3">
      <c r="A193" s="128"/>
      <c r="B193" s="218"/>
      <c r="C193" s="128"/>
      <c r="D193" s="128"/>
      <c r="E193" s="128"/>
      <c r="F193" s="128"/>
      <c r="G193" s="128"/>
      <c r="H193" s="21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</row>
    <row r="194" spans="1:26" ht="14.4" x14ac:dyDescent="0.3">
      <c r="A194" s="128"/>
      <c r="B194" s="218"/>
      <c r="C194" s="128"/>
      <c r="D194" s="128"/>
      <c r="E194" s="128"/>
      <c r="F194" s="128"/>
      <c r="G194" s="128"/>
      <c r="H194" s="21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</row>
    <row r="195" spans="1:26" ht="14.4" x14ac:dyDescent="0.3">
      <c r="A195" s="128"/>
      <c r="B195" s="218"/>
      <c r="C195" s="128"/>
      <c r="D195" s="128"/>
      <c r="E195" s="128"/>
      <c r="F195" s="128"/>
      <c r="G195" s="128"/>
      <c r="H195" s="21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</row>
    <row r="196" spans="1:26" ht="14.4" x14ac:dyDescent="0.3">
      <c r="A196" s="128"/>
      <c r="B196" s="218"/>
      <c r="C196" s="128"/>
      <c r="D196" s="128"/>
      <c r="E196" s="128"/>
      <c r="F196" s="128"/>
      <c r="G196" s="128"/>
      <c r="H196" s="21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</row>
    <row r="197" spans="1:26" ht="14.4" x14ac:dyDescent="0.3">
      <c r="A197" s="128"/>
      <c r="B197" s="218"/>
      <c r="C197" s="128"/>
      <c r="D197" s="128"/>
      <c r="E197" s="128"/>
      <c r="F197" s="128"/>
      <c r="G197" s="128"/>
      <c r="H197" s="21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</row>
    <row r="198" spans="1:26" ht="14.4" x14ac:dyDescent="0.3">
      <c r="A198" s="128"/>
      <c r="B198" s="218"/>
      <c r="C198" s="128"/>
      <c r="D198" s="128"/>
      <c r="E198" s="128"/>
      <c r="F198" s="128"/>
      <c r="G198" s="128"/>
      <c r="H198" s="21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</row>
    <row r="199" spans="1:26" ht="14.4" x14ac:dyDescent="0.3">
      <c r="A199" s="128"/>
      <c r="B199" s="218"/>
      <c r="C199" s="128"/>
      <c r="D199" s="128"/>
      <c r="E199" s="128"/>
      <c r="F199" s="128"/>
      <c r="G199" s="128"/>
      <c r="H199" s="21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</row>
    <row r="200" spans="1:26" ht="14.4" x14ac:dyDescent="0.3">
      <c r="A200" s="128"/>
      <c r="B200" s="218"/>
      <c r="C200" s="128"/>
      <c r="D200" s="128"/>
      <c r="E200" s="128"/>
      <c r="F200" s="128"/>
      <c r="G200" s="128"/>
      <c r="H200" s="21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</row>
    <row r="201" spans="1:26" ht="14.4" x14ac:dyDescent="0.3">
      <c r="A201" s="128"/>
      <c r="B201" s="218"/>
      <c r="C201" s="128"/>
      <c r="D201" s="128"/>
      <c r="E201" s="128"/>
      <c r="F201" s="128"/>
      <c r="G201" s="128"/>
      <c r="H201" s="21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</row>
    <row r="202" spans="1:26" ht="14.4" x14ac:dyDescent="0.3">
      <c r="A202" s="128"/>
      <c r="B202" s="218"/>
      <c r="C202" s="128"/>
      <c r="D202" s="128"/>
      <c r="E202" s="128"/>
      <c r="F202" s="128"/>
      <c r="G202" s="128"/>
      <c r="H202" s="21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</row>
    <row r="203" spans="1:26" ht="14.4" x14ac:dyDescent="0.3">
      <c r="A203" s="128"/>
      <c r="B203" s="218"/>
      <c r="C203" s="128"/>
      <c r="D203" s="128"/>
      <c r="E203" s="128"/>
      <c r="F203" s="128"/>
      <c r="G203" s="128"/>
      <c r="H203" s="21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</row>
    <row r="204" spans="1:26" ht="14.4" x14ac:dyDescent="0.3">
      <c r="A204" s="128"/>
      <c r="B204" s="218"/>
      <c r="C204" s="128"/>
      <c r="D204" s="128"/>
      <c r="E204" s="128"/>
      <c r="F204" s="128"/>
      <c r="G204" s="128"/>
      <c r="H204" s="21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</row>
    <row r="205" spans="1:26" ht="14.4" x14ac:dyDescent="0.3">
      <c r="A205" s="128"/>
      <c r="B205" s="218"/>
      <c r="C205" s="128"/>
      <c r="D205" s="128"/>
      <c r="E205" s="128"/>
      <c r="F205" s="128"/>
      <c r="G205" s="128"/>
      <c r="H205" s="21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</row>
    <row r="206" spans="1:26" ht="14.4" x14ac:dyDescent="0.3">
      <c r="A206" s="128"/>
      <c r="B206" s="218"/>
      <c r="C206" s="128"/>
      <c r="D206" s="128"/>
      <c r="E206" s="128"/>
      <c r="F206" s="128"/>
      <c r="G206" s="128"/>
      <c r="H206" s="21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</row>
    <row r="207" spans="1:26" ht="14.4" x14ac:dyDescent="0.3">
      <c r="A207" s="128"/>
      <c r="B207" s="218"/>
      <c r="C207" s="128"/>
      <c r="D207" s="128"/>
      <c r="E207" s="128"/>
      <c r="F207" s="128"/>
      <c r="G207" s="128"/>
      <c r="H207" s="21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</row>
    <row r="208" spans="1:26" ht="14.4" x14ac:dyDescent="0.3">
      <c r="A208" s="128"/>
      <c r="B208" s="218"/>
      <c r="C208" s="128"/>
      <c r="D208" s="128"/>
      <c r="E208" s="128"/>
      <c r="F208" s="128"/>
      <c r="G208" s="128"/>
      <c r="H208" s="21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</row>
    <row r="209" spans="1:26" ht="14.4" x14ac:dyDescent="0.3">
      <c r="A209" s="128"/>
      <c r="B209" s="218"/>
      <c r="C209" s="128"/>
      <c r="D209" s="128"/>
      <c r="E209" s="128"/>
      <c r="F209" s="128"/>
      <c r="G209" s="128"/>
      <c r="H209" s="21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</row>
    <row r="210" spans="1:26" ht="14.4" x14ac:dyDescent="0.3">
      <c r="A210" s="128"/>
      <c r="B210" s="218"/>
      <c r="C210" s="128"/>
      <c r="D210" s="128"/>
      <c r="E210" s="128"/>
      <c r="F210" s="128"/>
      <c r="G210" s="128"/>
      <c r="H210" s="21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</row>
    <row r="211" spans="1:26" ht="14.4" x14ac:dyDescent="0.3">
      <c r="A211" s="128"/>
      <c r="B211" s="218"/>
      <c r="C211" s="128"/>
      <c r="D211" s="128"/>
      <c r="E211" s="128"/>
      <c r="F211" s="128"/>
      <c r="G211" s="128"/>
      <c r="H211" s="21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</row>
    <row r="212" spans="1:26" ht="14.4" x14ac:dyDescent="0.3">
      <c r="A212" s="128"/>
      <c r="B212" s="218"/>
      <c r="C212" s="128"/>
      <c r="D212" s="128"/>
      <c r="E212" s="128"/>
      <c r="F212" s="128"/>
      <c r="G212" s="128"/>
      <c r="H212" s="21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</row>
    <row r="213" spans="1:26" ht="14.4" x14ac:dyDescent="0.3">
      <c r="A213" s="128"/>
      <c r="B213" s="218"/>
      <c r="C213" s="128"/>
      <c r="D213" s="128"/>
      <c r="E213" s="128"/>
      <c r="F213" s="128"/>
      <c r="G213" s="128"/>
      <c r="H213" s="21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</row>
    <row r="214" spans="1:26" ht="14.4" x14ac:dyDescent="0.3">
      <c r="A214" s="128"/>
      <c r="B214" s="218"/>
      <c r="C214" s="128"/>
      <c r="D214" s="128"/>
      <c r="E214" s="128"/>
      <c r="F214" s="128"/>
      <c r="G214" s="128"/>
      <c r="H214" s="21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</row>
    <row r="215" spans="1:26" ht="14.4" x14ac:dyDescent="0.3">
      <c r="A215" s="128"/>
      <c r="B215" s="218"/>
      <c r="C215" s="128"/>
      <c r="D215" s="128"/>
      <c r="E215" s="128"/>
      <c r="F215" s="128"/>
      <c r="G215" s="128"/>
      <c r="H215" s="21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</row>
    <row r="216" spans="1:26" ht="14.4" x14ac:dyDescent="0.3">
      <c r="A216" s="128"/>
      <c r="B216" s="218"/>
      <c r="C216" s="128"/>
      <c r="D216" s="128"/>
      <c r="E216" s="128"/>
      <c r="F216" s="128"/>
      <c r="G216" s="128"/>
      <c r="H216" s="21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</row>
    <row r="217" spans="1:26" ht="14.4" x14ac:dyDescent="0.3">
      <c r="A217" s="128"/>
      <c r="B217" s="218"/>
      <c r="C217" s="128"/>
      <c r="D217" s="128"/>
      <c r="E217" s="128"/>
      <c r="F217" s="128"/>
      <c r="G217" s="128"/>
      <c r="H217" s="21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</row>
    <row r="218" spans="1:26" ht="14.4" x14ac:dyDescent="0.3">
      <c r="A218" s="128"/>
      <c r="B218" s="218"/>
      <c r="C218" s="128"/>
      <c r="D218" s="128"/>
      <c r="E218" s="128"/>
      <c r="F218" s="128"/>
      <c r="G218" s="128"/>
      <c r="H218" s="21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</row>
    <row r="219" spans="1:26" ht="14.4" x14ac:dyDescent="0.3">
      <c r="A219" s="128"/>
      <c r="B219" s="218"/>
      <c r="C219" s="128"/>
      <c r="D219" s="128"/>
      <c r="E219" s="128"/>
      <c r="F219" s="128"/>
      <c r="G219" s="128"/>
      <c r="H219" s="21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</row>
    <row r="220" spans="1:26" ht="14.4" x14ac:dyDescent="0.3">
      <c r="A220" s="128"/>
      <c r="B220" s="218"/>
      <c r="C220" s="128"/>
      <c r="D220" s="128"/>
      <c r="E220" s="128"/>
      <c r="F220" s="128"/>
      <c r="G220" s="128"/>
      <c r="H220" s="21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</row>
    <row r="221" spans="1:26" ht="14.4" x14ac:dyDescent="0.3">
      <c r="A221" s="128"/>
      <c r="B221" s="218"/>
      <c r="C221" s="128"/>
      <c r="D221" s="128"/>
      <c r="E221" s="128"/>
      <c r="F221" s="128"/>
      <c r="G221" s="128"/>
      <c r="H221" s="21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</row>
    <row r="222" spans="1:26" ht="14.4" x14ac:dyDescent="0.3">
      <c r="A222" s="128"/>
      <c r="B222" s="218"/>
      <c r="C222" s="128"/>
      <c r="D222" s="128"/>
      <c r="E222" s="128"/>
      <c r="F222" s="128"/>
      <c r="G222" s="128"/>
      <c r="H222" s="21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</row>
    <row r="223" spans="1:26" ht="14.4" x14ac:dyDescent="0.3">
      <c r="A223" s="128"/>
      <c r="B223" s="218"/>
      <c r="C223" s="128"/>
      <c r="D223" s="128"/>
      <c r="E223" s="128"/>
      <c r="F223" s="128"/>
      <c r="G223" s="128"/>
      <c r="H223" s="21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</row>
    <row r="224" spans="1:26" ht="14.4" x14ac:dyDescent="0.3">
      <c r="A224" s="128"/>
      <c r="B224" s="218"/>
      <c r="C224" s="128"/>
      <c r="D224" s="128"/>
      <c r="E224" s="128"/>
      <c r="F224" s="128"/>
      <c r="G224" s="128"/>
      <c r="H224" s="21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</row>
    <row r="225" spans="1:26" ht="14.4" x14ac:dyDescent="0.3">
      <c r="A225" s="128"/>
      <c r="B225" s="218"/>
      <c r="C225" s="128"/>
      <c r="D225" s="128"/>
      <c r="E225" s="128"/>
      <c r="F225" s="128"/>
      <c r="G225" s="128"/>
      <c r="H225" s="21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</row>
    <row r="226" spans="1:26" ht="14.4" x14ac:dyDescent="0.3">
      <c r="A226" s="128"/>
      <c r="B226" s="218"/>
      <c r="C226" s="128"/>
      <c r="D226" s="128"/>
      <c r="E226" s="128"/>
      <c r="F226" s="128"/>
      <c r="G226" s="128"/>
      <c r="H226" s="21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</row>
    <row r="227" spans="1:26" ht="14.4" x14ac:dyDescent="0.3">
      <c r="A227" s="128"/>
      <c r="B227" s="218"/>
      <c r="C227" s="128"/>
      <c r="D227" s="128"/>
      <c r="E227" s="128"/>
      <c r="F227" s="128"/>
      <c r="G227" s="128"/>
      <c r="H227" s="21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</row>
    <row r="228" spans="1:26" ht="14.4" x14ac:dyDescent="0.3">
      <c r="A228" s="128"/>
      <c r="B228" s="218"/>
      <c r="C228" s="128"/>
      <c r="D228" s="128"/>
      <c r="E228" s="128"/>
      <c r="F228" s="128"/>
      <c r="G228" s="128"/>
      <c r="H228" s="21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</row>
    <row r="229" spans="1:26" ht="14.4" x14ac:dyDescent="0.3">
      <c r="A229" s="128"/>
      <c r="B229" s="218"/>
      <c r="C229" s="128"/>
      <c r="D229" s="128"/>
      <c r="E229" s="128"/>
      <c r="F229" s="128"/>
      <c r="G229" s="128"/>
      <c r="H229" s="21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</row>
    <row r="230" spans="1:26" ht="14.4" x14ac:dyDescent="0.3">
      <c r="A230" s="128"/>
      <c r="B230" s="218"/>
      <c r="C230" s="128"/>
      <c r="D230" s="128"/>
      <c r="E230" s="128"/>
      <c r="F230" s="128"/>
      <c r="G230" s="128"/>
      <c r="H230" s="21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</row>
    <row r="231" spans="1:26" ht="14.4" x14ac:dyDescent="0.3">
      <c r="A231" s="128"/>
      <c r="B231" s="218"/>
      <c r="C231" s="128"/>
      <c r="D231" s="128"/>
      <c r="E231" s="128"/>
      <c r="F231" s="128"/>
      <c r="G231" s="128"/>
      <c r="H231" s="21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</row>
    <row r="232" spans="1:26" ht="14.4" x14ac:dyDescent="0.3">
      <c r="A232" s="128"/>
      <c r="B232" s="218"/>
      <c r="C232" s="128"/>
      <c r="D232" s="128"/>
      <c r="E232" s="128"/>
      <c r="F232" s="128"/>
      <c r="G232" s="128"/>
      <c r="H232" s="21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</row>
    <row r="233" spans="1:26" ht="14.4" x14ac:dyDescent="0.3">
      <c r="A233" s="128"/>
      <c r="B233" s="218"/>
      <c r="C233" s="128"/>
      <c r="D233" s="128"/>
      <c r="E233" s="128"/>
      <c r="F233" s="128"/>
      <c r="G233" s="128"/>
      <c r="H233" s="21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</row>
    <row r="234" spans="1:26" ht="14.4" x14ac:dyDescent="0.3">
      <c r="A234" s="128"/>
      <c r="B234" s="218"/>
      <c r="C234" s="128"/>
      <c r="D234" s="128"/>
      <c r="E234" s="128"/>
      <c r="F234" s="128"/>
      <c r="G234" s="128"/>
      <c r="H234" s="21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</row>
    <row r="235" spans="1:26" ht="14.4" x14ac:dyDescent="0.3">
      <c r="A235" s="128"/>
      <c r="B235" s="218"/>
      <c r="C235" s="128"/>
      <c r="D235" s="128"/>
      <c r="E235" s="128"/>
      <c r="F235" s="128"/>
      <c r="G235" s="128"/>
      <c r="H235" s="21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</row>
    <row r="236" spans="1:26" ht="14.4" x14ac:dyDescent="0.3">
      <c r="A236" s="128"/>
      <c r="B236" s="218"/>
      <c r="C236" s="128"/>
      <c r="D236" s="128"/>
      <c r="E236" s="128"/>
      <c r="F236" s="128"/>
      <c r="G236" s="128"/>
      <c r="H236" s="21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</row>
    <row r="237" spans="1:26" ht="14.4" x14ac:dyDescent="0.3">
      <c r="A237" s="128"/>
      <c r="B237" s="218"/>
      <c r="C237" s="128"/>
      <c r="D237" s="128"/>
      <c r="E237" s="128"/>
      <c r="F237" s="128"/>
      <c r="G237" s="128"/>
      <c r="H237" s="21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</row>
    <row r="238" spans="1:26" ht="14.4" x14ac:dyDescent="0.3">
      <c r="A238" s="128"/>
      <c r="B238" s="218"/>
      <c r="C238" s="128"/>
      <c r="D238" s="128"/>
      <c r="E238" s="128"/>
      <c r="F238" s="128"/>
      <c r="G238" s="128"/>
      <c r="H238" s="21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</row>
    <row r="239" spans="1:26" ht="14.4" x14ac:dyDescent="0.3">
      <c r="A239" s="128"/>
      <c r="B239" s="218"/>
      <c r="C239" s="128"/>
      <c r="D239" s="128"/>
      <c r="E239" s="128"/>
      <c r="F239" s="128"/>
      <c r="G239" s="128"/>
      <c r="H239" s="21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</row>
    <row r="240" spans="1:26" ht="14.4" x14ac:dyDescent="0.3">
      <c r="A240" s="128"/>
      <c r="B240" s="218"/>
      <c r="C240" s="128"/>
      <c r="D240" s="128"/>
      <c r="E240" s="128"/>
      <c r="F240" s="128"/>
      <c r="G240" s="128"/>
      <c r="H240" s="21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</row>
    <row r="241" spans="1:26" ht="14.4" x14ac:dyDescent="0.3">
      <c r="A241" s="128"/>
      <c r="B241" s="218"/>
      <c r="C241" s="128"/>
      <c r="D241" s="128"/>
      <c r="E241" s="128"/>
      <c r="F241" s="128"/>
      <c r="G241" s="128"/>
      <c r="H241" s="21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</row>
    <row r="242" spans="1:26" ht="14.4" x14ac:dyDescent="0.3">
      <c r="A242" s="128"/>
      <c r="B242" s="218"/>
      <c r="C242" s="128"/>
      <c r="D242" s="128"/>
      <c r="E242" s="128"/>
      <c r="F242" s="128"/>
      <c r="G242" s="128"/>
      <c r="H242" s="21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</row>
    <row r="243" spans="1:26" ht="14.4" x14ac:dyDescent="0.3">
      <c r="A243" s="128"/>
      <c r="B243" s="218"/>
      <c r="C243" s="128"/>
      <c r="D243" s="128"/>
      <c r="E243" s="128"/>
      <c r="F243" s="128"/>
      <c r="G243" s="128"/>
      <c r="H243" s="21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</row>
    <row r="244" spans="1:26" ht="14.4" x14ac:dyDescent="0.3">
      <c r="A244" s="128"/>
      <c r="B244" s="218"/>
      <c r="C244" s="128"/>
      <c r="D244" s="128"/>
      <c r="E244" s="128"/>
      <c r="F244" s="128"/>
      <c r="G244" s="128"/>
      <c r="H244" s="21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</row>
    <row r="245" spans="1:26" ht="14.4" x14ac:dyDescent="0.3">
      <c r="A245" s="128"/>
      <c r="B245" s="218"/>
      <c r="C245" s="128"/>
      <c r="D245" s="128"/>
      <c r="E245" s="128"/>
      <c r="F245" s="128"/>
      <c r="G245" s="128"/>
      <c r="H245" s="21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</row>
    <row r="246" spans="1:26" ht="14.4" x14ac:dyDescent="0.3">
      <c r="A246" s="128"/>
      <c r="B246" s="218"/>
      <c r="C246" s="128"/>
      <c r="D246" s="128"/>
      <c r="E246" s="128"/>
      <c r="F246" s="128"/>
      <c r="G246" s="128"/>
      <c r="H246" s="21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</row>
    <row r="247" spans="1:26" ht="14.4" x14ac:dyDescent="0.3">
      <c r="A247" s="128"/>
      <c r="B247" s="218"/>
      <c r="C247" s="128"/>
      <c r="D247" s="128"/>
      <c r="E247" s="128"/>
      <c r="F247" s="128"/>
      <c r="G247" s="128"/>
      <c r="H247" s="21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</row>
    <row r="248" spans="1:26" ht="14.4" x14ac:dyDescent="0.3">
      <c r="A248" s="128"/>
      <c r="B248" s="218"/>
      <c r="C248" s="128"/>
      <c r="D248" s="128"/>
      <c r="E248" s="128"/>
      <c r="F248" s="128"/>
      <c r="G248" s="128"/>
      <c r="H248" s="21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</row>
    <row r="249" spans="1:26" ht="14.4" x14ac:dyDescent="0.3">
      <c r="A249" s="128"/>
      <c r="B249" s="218"/>
      <c r="C249" s="128"/>
      <c r="D249" s="128"/>
      <c r="E249" s="128"/>
      <c r="F249" s="128"/>
      <c r="G249" s="128"/>
      <c r="H249" s="21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</row>
    <row r="250" spans="1:26" ht="14.4" x14ac:dyDescent="0.3">
      <c r="A250" s="128"/>
      <c r="B250" s="218"/>
      <c r="C250" s="128"/>
      <c r="D250" s="128"/>
      <c r="E250" s="128"/>
      <c r="F250" s="128"/>
      <c r="G250" s="128"/>
      <c r="H250" s="21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</row>
    <row r="251" spans="1:26" ht="14.4" x14ac:dyDescent="0.3">
      <c r="A251" s="128"/>
      <c r="B251" s="218"/>
      <c r="C251" s="128"/>
      <c r="D251" s="128"/>
      <c r="E251" s="128"/>
      <c r="F251" s="128"/>
      <c r="G251" s="128"/>
      <c r="H251" s="21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</row>
    <row r="252" spans="1:26" ht="14.4" x14ac:dyDescent="0.3">
      <c r="A252" s="128"/>
      <c r="B252" s="218"/>
      <c r="C252" s="128"/>
      <c r="D252" s="128"/>
      <c r="E252" s="128"/>
      <c r="F252" s="128"/>
      <c r="G252" s="128"/>
      <c r="H252" s="21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</row>
    <row r="253" spans="1:26" ht="14.4" x14ac:dyDescent="0.3">
      <c r="A253" s="128"/>
      <c r="B253" s="218"/>
      <c r="C253" s="128"/>
      <c r="D253" s="128"/>
      <c r="E253" s="128"/>
      <c r="F253" s="128"/>
      <c r="G253" s="128"/>
      <c r="H253" s="21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</row>
    <row r="254" spans="1:26" ht="14.4" x14ac:dyDescent="0.3">
      <c r="A254" s="128"/>
      <c r="B254" s="218"/>
      <c r="C254" s="128"/>
      <c r="D254" s="128"/>
      <c r="E254" s="128"/>
      <c r="F254" s="128"/>
      <c r="G254" s="128"/>
      <c r="H254" s="21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</row>
    <row r="255" spans="1:26" ht="14.4" x14ac:dyDescent="0.3">
      <c r="A255" s="128"/>
      <c r="B255" s="218"/>
      <c r="C255" s="128"/>
      <c r="D255" s="128"/>
      <c r="E255" s="128"/>
      <c r="F255" s="128"/>
      <c r="G255" s="128"/>
      <c r="H255" s="21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</row>
    <row r="256" spans="1:26" ht="14.4" x14ac:dyDescent="0.3">
      <c r="A256" s="128"/>
      <c r="B256" s="218"/>
      <c r="C256" s="128"/>
      <c r="D256" s="128"/>
      <c r="E256" s="128"/>
      <c r="F256" s="128"/>
      <c r="G256" s="128"/>
      <c r="H256" s="21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</row>
    <row r="257" spans="1:26" ht="14.4" x14ac:dyDescent="0.3">
      <c r="A257" s="128"/>
      <c r="B257" s="218"/>
      <c r="C257" s="128"/>
      <c r="D257" s="128"/>
      <c r="E257" s="128"/>
      <c r="F257" s="128"/>
      <c r="G257" s="128"/>
      <c r="H257" s="21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</row>
    <row r="258" spans="1:26" ht="14.4" x14ac:dyDescent="0.3">
      <c r="A258" s="128"/>
      <c r="B258" s="218"/>
      <c r="C258" s="128"/>
      <c r="D258" s="128"/>
      <c r="E258" s="128"/>
      <c r="F258" s="128"/>
      <c r="G258" s="128"/>
      <c r="H258" s="21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</row>
    <row r="259" spans="1:26" ht="14.4" x14ac:dyDescent="0.3">
      <c r="A259" s="128"/>
      <c r="B259" s="218"/>
      <c r="C259" s="128"/>
      <c r="D259" s="128"/>
      <c r="E259" s="128"/>
      <c r="F259" s="128"/>
      <c r="G259" s="128"/>
      <c r="H259" s="21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</row>
    <row r="260" spans="1:26" ht="14.4" x14ac:dyDescent="0.3">
      <c r="A260" s="128"/>
      <c r="B260" s="218"/>
      <c r="C260" s="128"/>
      <c r="D260" s="128"/>
      <c r="E260" s="128"/>
      <c r="F260" s="128"/>
      <c r="G260" s="128"/>
      <c r="H260" s="21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</row>
    <row r="261" spans="1:26" ht="14.4" x14ac:dyDescent="0.3">
      <c r="A261" s="128"/>
      <c r="B261" s="218"/>
      <c r="C261" s="128"/>
      <c r="D261" s="128"/>
      <c r="E261" s="128"/>
      <c r="F261" s="128"/>
      <c r="G261" s="128"/>
      <c r="H261" s="21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</row>
    <row r="262" spans="1:26" ht="14.4" x14ac:dyDescent="0.3">
      <c r="A262" s="128"/>
      <c r="B262" s="218"/>
      <c r="C262" s="128"/>
      <c r="D262" s="128"/>
      <c r="E262" s="128"/>
      <c r="F262" s="128"/>
      <c r="G262" s="128"/>
      <c r="H262" s="21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</row>
    <row r="263" spans="1:26" ht="14.4" x14ac:dyDescent="0.3">
      <c r="A263" s="128"/>
      <c r="B263" s="218"/>
      <c r="C263" s="128"/>
      <c r="D263" s="128"/>
      <c r="E263" s="128"/>
      <c r="F263" s="128"/>
      <c r="G263" s="128"/>
      <c r="H263" s="21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</row>
    <row r="264" spans="1:26" ht="14.4" x14ac:dyDescent="0.3">
      <c r="A264" s="128"/>
      <c r="B264" s="218"/>
      <c r="C264" s="128"/>
      <c r="D264" s="128"/>
      <c r="E264" s="128"/>
      <c r="F264" s="128"/>
      <c r="G264" s="128"/>
      <c r="H264" s="21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</row>
    <row r="265" spans="1:26" ht="14.4" x14ac:dyDescent="0.3">
      <c r="A265" s="128"/>
      <c r="B265" s="218"/>
      <c r="C265" s="128"/>
      <c r="D265" s="128"/>
      <c r="E265" s="128"/>
      <c r="F265" s="128"/>
      <c r="G265" s="128"/>
      <c r="H265" s="21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</row>
    <row r="266" spans="1:26" ht="14.4" x14ac:dyDescent="0.3">
      <c r="A266" s="128"/>
      <c r="B266" s="218"/>
      <c r="C266" s="128"/>
      <c r="D266" s="128"/>
      <c r="E266" s="128"/>
      <c r="F266" s="128"/>
      <c r="G266" s="128"/>
      <c r="H266" s="21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</row>
    <row r="267" spans="1:26" ht="14.4" x14ac:dyDescent="0.3">
      <c r="A267" s="128"/>
      <c r="B267" s="218"/>
      <c r="C267" s="128"/>
      <c r="D267" s="128"/>
      <c r="E267" s="128"/>
      <c r="F267" s="128"/>
      <c r="G267" s="128"/>
      <c r="H267" s="21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</row>
    <row r="268" spans="1:26" ht="14.4" x14ac:dyDescent="0.3">
      <c r="A268" s="128"/>
      <c r="B268" s="218"/>
      <c r="C268" s="128"/>
      <c r="D268" s="128"/>
      <c r="E268" s="128"/>
      <c r="F268" s="128"/>
      <c r="G268" s="128"/>
      <c r="H268" s="21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</row>
    <row r="269" spans="1:26" ht="14.4" x14ac:dyDescent="0.3">
      <c r="A269" s="128"/>
      <c r="B269" s="218"/>
      <c r="C269" s="128"/>
      <c r="D269" s="128"/>
      <c r="E269" s="128"/>
      <c r="F269" s="128"/>
      <c r="G269" s="128"/>
      <c r="H269" s="21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</row>
    <row r="270" spans="1:26" ht="14.4" x14ac:dyDescent="0.3">
      <c r="A270" s="128"/>
      <c r="B270" s="218"/>
      <c r="C270" s="128"/>
      <c r="D270" s="128"/>
      <c r="E270" s="128"/>
      <c r="F270" s="128"/>
      <c r="G270" s="128"/>
      <c r="H270" s="21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</row>
    <row r="271" spans="1:26" ht="14.4" x14ac:dyDescent="0.3">
      <c r="A271" s="128"/>
      <c r="B271" s="218"/>
      <c r="C271" s="128"/>
      <c r="D271" s="128"/>
      <c r="E271" s="128"/>
      <c r="F271" s="128"/>
      <c r="G271" s="128"/>
      <c r="H271" s="21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</row>
    <row r="272" spans="1:26" ht="14.4" x14ac:dyDescent="0.3">
      <c r="A272" s="128"/>
      <c r="B272" s="218"/>
      <c r="C272" s="128"/>
      <c r="D272" s="128"/>
      <c r="E272" s="128"/>
      <c r="F272" s="128"/>
      <c r="G272" s="128"/>
      <c r="H272" s="21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</row>
    <row r="273" spans="1:26" ht="14.4" x14ac:dyDescent="0.3">
      <c r="A273" s="128"/>
      <c r="B273" s="218"/>
      <c r="C273" s="128"/>
      <c r="D273" s="128"/>
      <c r="E273" s="128"/>
      <c r="F273" s="128"/>
      <c r="G273" s="128"/>
      <c r="H273" s="21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</row>
    <row r="274" spans="1:26" ht="14.4" x14ac:dyDescent="0.3">
      <c r="A274" s="128"/>
      <c r="B274" s="218"/>
      <c r="C274" s="128"/>
      <c r="D274" s="128"/>
      <c r="E274" s="128"/>
      <c r="F274" s="128"/>
      <c r="G274" s="128"/>
      <c r="H274" s="21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</row>
    <row r="275" spans="1:26" ht="14.4" x14ac:dyDescent="0.3">
      <c r="A275" s="128"/>
      <c r="B275" s="218"/>
      <c r="C275" s="128"/>
      <c r="D275" s="128"/>
      <c r="E275" s="128"/>
      <c r="F275" s="128"/>
      <c r="G275" s="128"/>
      <c r="H275" s="21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</row>
    <row r="276" spans="1:26" ht="14.4" x14ac:dyDescent="0.3">
      <c r="A276" s="128"/>
      <c r="B276" s="218"/>
      <c r="C276" s="128"/>
      <c r="D276" s="128"/>
      <c r="E276" s="128"/>
      <c r="F276" s="128"/>
      <c r="G276" s="128"/>
      <c r="H276" s="21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</row>
    <row r="277" spans="1:26" ht="14.4" x14ac:dyDescent="0.3">
      <c r="A277" s="128"/>
      <c r="B277" s="218"/>
      <c r="C277" s="128"/>
      <c r="D277" s="128"/>
      <c r="E277" s="128"/>
      <c r="F277" s="128"/>
      <c r="G277" s="128"/>
      <c r="H277" s="21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</row>
    <row r="278" spans="1:26" ht="14.4" x14ac:dyDescent="0.3">
      <c r="A278" s="128"/>
      <c r="B278" s="218"/>
      <c r="C278" s="128"/>
      <c r="D278" s="128"/>
      <c r="E278" s="128"/>
      <c r="F278" s="128"/>
      <c r="G278" s="128"/>
      <c r="H278" s="21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</row>
    <row r="279" spans="1:26" ht="14.4" x14ac:dyDescent="0.3">
      <c r="A279" s="128"/>
      <c r="B279" s="218"/>
      <c r="C279" s="128"/>
      <c r="D279" s="128"/>
      <c r="E279" s="128"/>
      <c r="F279" s="128"/>
      <c r="G279" s="128"/>
      <c r="H279" s="21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</row>
    <row r="280" spans="1:26" ht="14.4" x14ac:dyDescent="0.3">
      <c r="A280" s="128"/>
      <c r="B280" s="218"/>
      <c r="C280" s="128"/>
      <c r="D280" s="128"/>
      <c r="E280" s="128"/>
      <c r="F280" s="128"/>
      <c r="G280" s="128"/>
      <c r="H280" s="21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</row>
    <row r="281" spans="1:26" ht="14.4" x14ac:dyDescent="0.3">
      <c r="A281" s="128"/>
      <c r="B281" s="218"/>
      <c r="C281" s="128"/>
      <c r="D281" s="128"/>
      <c r="E281" s="128"/>
      <c r="F281" s="128"/>
      <c r="G281" s="128"/>
      <c r="H281" s="21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</row>
    <row r="282" spans="1:26" ht="14.4" x14ac:dyDescent="0.3">
      <c r="A282" s="128"/>
      <c r="B282" s="218"/>
      <c r="C282" s="128"/>
      <c r="D282" s="128"/>
      <c r="E282" s="128"/>
      <c r="F282" s="128"/>
      <c r="G282" s="128"/>
      <c r="H282" s="21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</row>
    <row r="283" spans="1:26" ht="14.4" x14ac:dyDescent="0.3">
      <c r="A283" s="128"/>
      <c r="B283" s="218"/>
      <c r="C283" s="128"/>
      <c r="D283" s="128"/>
      <c r="E283" s="128"/>
      <c r="F283" s="128"/>
      <c r="G283" s="128"/>
      <c r="H283" s="21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</row>
    <row r="284" spans="1:26" ht="14.4" x14ac:dyDescent="0.3">
      <c r="A284" s="128"/>
      <c r="B284" s="218"/>
      <c r="C284" s="128"/>
      <c r="D284" s="128"/>
      <c r="E284" s="128"/>
      <c r="F284" s="128"/>
      <c r="G284" s="128"/>
      <c r="H284" s="21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</row>
    <row r="285" spans="1:26" ht="14.4" x14ac:dyDescent="0.3">
      <c r="A285" s="128"/>
      <c r="B285" s="218"/>
      <c r="C285" s="128"/>
      <c r="D285" s="128"/>
      <c r="E285" s="128"/>
      <c r="F285" s="128"/>
      <c r="G285" s="128"/>
      <c r="H285" s="21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</row>
    <row r="286" spans="1:26" ht="14.4" x14ac:dyDescent="0.3">
      <c r="A286" s="128"/>
      <c r="B286" s="218"/>
      <c r="C286" s="128"/>
      <c r="D286" s="128"/>
      <c r="E286" s="128"/>
      <c r="F286" s="128"/>
      <c r="G286" s="128"/>
      <c r="H286" s="21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</row>
    <row r="287" spans="1:26" ht="14.4" x14ac:dyDescent="0.3">
      <c r="A287" s="128"/>
      <c r="B287" s="218"/>
      <c r="C287" s="128"/>
      <c r="D287" s="128"/>
      <c r="E287" s="128"/>
      <c r="F287" s="128"/>
      <c r="G287" s="128"/>
      <c r="H287" s="21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</row>
    <row r="288" spans="1:26" ht="14.4" x14ac:dyDescent="0.3">
      <c r="A288" s="128"/>
      <c r="B288" s="218"/>
      <c r="C288" s="128"/>
      <c r="D288" s="128"/>
      <c r="E288" s="128"/>
      <c r="F288" s="128"/>
      <c r="G288" s="128"/>
      <c r="H288" s="21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</row>
    <row r="289" spans="1:26" ht="14.4" x14ac:dyDescent="0.3">
      <c r="A289" s="128"/>
      <c r="B289" s="218"/>
      <c r="C289" s="128"/>
      <c r="D289" s="128"/>
      <c r="E289" s="128"/>
      <c r="F289" s="128"/>
      <c r="G289" s="128"/>
      <c r="H289" s="21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</row>
    <row r="290" spans="1:26" ht="14.4" x14ac:dyDescent="0.3">
      <c r="A290" s="128"/>
      <c r="B290" s="218"/>
      <c r="C290" s="128"/>
      <c r="D290" s="128"/>
      <c r="E290" s="128"/>
      <c r="F290" s="128"/>
      <c r="G290" s="128"/>
      <c r="H290" s="21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</row>
    <row r="291" spans="1:26" ht="14.4" x14ac:dyDescent="0.3">
      <c r="A291" s="128"/>
      <c r="B291" s="218"/>
      <c r="C291" s="128"/>
      <c r="D291" s="128"/>
      <c r="E291" s="128"/>
      <c r="F291" s="128"/>
      <c r="G291" s="128"/>
      <c r="H291" s="21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</row>
    <row r="292" spans="1:26" ht="14.4" x14ac:dyDescent="0.3">
      <c r="A292" s="128"/>
      <c r="B292" s="218"/>
      <c r="C292" s="128"/>
      <c r="D292" s="128"/>
      <c r="E292" s="128"/>
      <c r="F292" s="128"/>
      <c r="G292" s="128"/>
      <c r="H292" s="21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</row>
    <row r="293" spans="1:26" ht="14.4" x14ac:dyDescent="0.3">
      <c r="A293" s="128"/>
      <c r="B293" s="218"/>
      <c r="C293" s="128"/>
      <c r="D293" s="128"/>
      <c r="E293" s="128"/>
      <c r="F293" s="128"/>
      <c r="G293" s="128"/>
      <c r="H293" s="21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</row>
    <row r="294" spans="1:26" ht="14.4" x14ac:dyDescent="0.3">
      <c r="A294" s="128"/>
      <c r="B294" s="218"/>
      <c r="C294" s="128"/>
      <c r="D294" s="128"/>
      <c r="E294" s="128"/>
      <c r="F294" s="128"/>
      <c r="G294" s="128"/>
      <c r="H294" s="21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</row>
    <row r="295" spans="1:26" ht="14.4" x14ac:dyDescent="0.3">
      <c r="A295" s="128"/>
      <c r="B295" s="218"/>
      <c r="C295" s="128"/>
      <c r="D295" s="128"/>
      <c r="E295" s="128"/>
      <c r="F295" s="128"/>
      <c r="G295" s="128"/>
      <c r="H295" s="21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</row>
    <row r="296" spans="1:26" ht="14.4" x14ac:dyDescent="0.3">
      <c r="A296" s="128"/>
      <c r="B296" s="218"/>
      <c r="C296" s="128"/>
      <c r="D296" s="128"/>
      <c r="E296" s="128"/>
      <c r="F296" s="128"/>
      <c r="G296" s="128"/>
      <c r="H296" s="21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</row>
    <row r="297" spans="1:26" ht="14.4" x14ac:dyDescent="0.3">
      <c r="A297" s="128"/>
      <c r="B297" s="218"/>
      <c r="C297" s="128"/>
      <c r="D297" s="128"/>
      <c r="E297" s="128"/>
      <c r="F297" s="128"/>
      <c r="G297" s="128"/>
      <c r="H297" s="21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</row>
    <row r="298" spans="1:26" ht="14.4" x14ac:dyDescent="0.3">
      <c r="A298" s="128"/>
      <c r="B298" s="218"/>
      <c r="C298" s="128"/>
      <c r="D298" s="128"/>
      <c r="E298" s="128"/>
      <c r="F298" s="128"/>
      <c r="G298" s="128"/>
      <c r="H298" s="21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</row>
    <row r="299" spans="1:26" ht="14.4" x14ac:dyDescent="0.3">
      <c r="A299" s="128"/>
      <c r="B299" s="218"/>
      <c r="C299" s="128"/>
      <c r="D299" s="128"/>
      <c r="E299" s="128"/>
      <c r="F299" s="128"/>
      <c r="G299" s="128"/>
      <c r="H299" s="21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</row>
    <row r="300" spans="1:26" ht="14.4" x14ac:dyDescent="0.3">
      <c r="A300" s="128"/>
      <c r="B300" s="218"/>
      <c r="C300" s="128"/>
      <c r="D300" s="128"/>
      <c r="E300" s="128"/>
      <c r="F300" s="128"/>
      <c r="G300" s="128"/>
      <c r="H300" s="21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</row>
    <row r="301" spans="1:26" ht="14.4" x14ac:dyDescent="0.3">
      <c r="A301" s="128"/>
      <c r="B301" s="218"/>
      <c r="C301" s="128"/>
      <c r="D301" s="128"/>
      <c r="E301" s="128"/>
      <c r="F301" s="128"/>
      <c r="G301" s="128"/>
      <c r="H301" s="21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</row>
    <row r="302" spans="1:26" ht="14.4" x14ac:dyDescent="0.3">
      <c r="A302" s="128"/>
      <c r="B302" s="218"/>
      <c r="C302" s="128"/>
      <c r="D302" s="128"/>
      <c r="E302" s="128"/>
      <c r="F302" s="128"/>
      <c r="G302" s="128"/>
      <c r="H302" s="21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</row>
    <row r="303" spans="1:26" ht="14.4" x14ac:dyDescent="0.3">
      <c r="A303" s="128"/>
      <c r="B303" s="218"/>
      <c r="C303" s="128"/>
      <c r="D303" s="128"/>
      <c r="E303" s="128"/>
      <c r="F303" s="128"/>
      <c r="G303" s="128"/>
      <c r="H303" s="21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</row>
    <row r="304" spans="1:26" ht="14.4" x14ac:dyDescent="0.3">
      <c r="A304" s="128"/>
      <c r="B304" s="218"/>
      <c r="C304" s="128"/>
      <c r="D304" s="128"/>
      <c r="E304" s="128"/>
      <c r="F304" s="128"/>
      <c r="G304" s="128"/>
      <c r="H304" s="21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</row>
    <row r="305" spans="1:26" ht="14.4" x14ac:dyDescent="0.3">
      <c r="A305" s="128"/>
      <c r="B305" s="218"/>
      <c r="C305" s="128"/>
      <c r="D305" s="128"/>
      <c r="E305" s="128"/>
      <c r="F305" s="128"/>
      <c r="G305" s="128"/>
      <c r="H305" s="21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</row>
    <row r="306" spans="1:26" ht="14.4" x14ac:dyDescent="0.3">
      <c r="A306" s="128"/>
      <c r="B306" s="218"/>
      <c r="C306" s="128"/>
      <c r="D306" s="128"/>
      <c r="E306" s="128"/>
      <c r="F306" s="128"/>
      <c r="G306" s="128"/>
      <c r="H306" s="21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</row>
    <row r="307" spans="1:26" ht="14.4" x14ac:dyDescent="0.3">
      <c r="A307" s="128"/>
      <c r="B307" s="218"/>
      <c r="C307" s="128"/>
      <c r="D307" s="128"/>
      <c r="E307" s="128"/>
      <c r="F307" s="128"/>
      <c r="G307" s="128"/>
      <c r="H307" s="21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</row>
    <row r="308" spans="1:26" ht="14.4" x14ac:dyDescent="0.3">
      <c r="A308" s="128"/>
      <c r="B308" s="218"/>
      <c r="C308" s="128"/>
      <c r="D308" s="128"/>
      <c r="E308" s="128"/>
      <c r="F308" s="128"/>
      <c r="G308" s="128"/>
      <c r="H308" s="21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</row>
    <row r="309" spans="1:26" ht="14.4" x14ac:dyDescent="0.3">
      <c r="A309" s="128"/>
      <c r="B309" s="218"/>
      <c r="C309" s="128"/>
      <c r="D309" s="128"/>
      <c r="E309" s="128"/>
      <c r="F309" s="128"/>
      <c r="G309" s="128"/>
      <c r="H309" s="21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</row>
    <row r="310" spans="1:26" ht="14.4" x14ac:dyDescent="0.3">
      <c r="A310" s="128"/>
      <c r="B310" s="218"/>
      <c r="C310" s="128"/>
      <c r="D310" s="128"/>
      <c r="E310" s="128"/>
      <c r="F310" s="128"/>
      <c r="G310" s="128"/>
      <c r="H310" s="21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</row>
    <row r="311" spans="1:26" ht="14.4" x14ac:dyDescent="0.3">
      <c r="A311" s="128"/>
      <c r="B311" s="218"/>
      <c r="C311" s="128"/>
      <c r="D311" s="128"/>
      <c r="E311" s="128"/>
      <c r="F311" s="128"/>
      <c r="G311" s="128"/>
      <c r="H311" s="21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</row>
    <row r="312" spans="1:26" ht="14.4" x14ac:dyDescent="0.3">
      <c r="A312" s="128"/>
      <c r="B312" s="218"/>
      <c r="C312" s="128"/>
      <c r="D312" s="128"/>
      <c r="E312" s="128"/>
      <c r="F312" s="128"/>
      <c r="G312" s="128"/>
      <c r="H312" s="21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</row>
    <row r="313" spans="1:26" ht="14.4" x14ac:dyDescent="0.3">
      <c r="A313" s="128"/>
      <c r="B313" s="218"/>
      <c r="C313" s="128"/>
      <c r="D313" s="128"/>
      <c r="E313" s="128"/>
      <c r="F313" s="128"/>
      <c r="G313" s="128"/>
      <c r="H313" s="21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</row>
    <row r="314" spans="1:26" ht="14.4" x14ac:dyDescent="0.3">
      <c r="A314" s="128"/>
      <c r="B314" s="218"/>
      <c r="C314" s="128"/>
      <c r="D314" s="128"/>
      <c r="E314" s="128"/>
      <c r="F314" s="128"/>
      <c r="G314" s="128"/>
      <c r="H314" s="21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</row>
    <row r="315" spans="1:26" ht="14.4" x14ac:dyDescent="0.3">
      <c r="A315" s="128"/>
      <c r="B315" s="218"/>
      <c r="C315" s="128"/>
      <c r="D315" s="128"/>
      <c r="E315" s="128"/>
      <c r="F315" s="128"/>
      <c r="G315" s="128"/>
      <c r="H315" s="21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</row>
    <row r="316" spans="1:26" ht="14.4" x14ac:dyDescent="0.3">
      <c r="A316" s="128"/>
      <c r="B316" s="218"/>
      <c r="C316" s="128"/>
      <c r="D316" s="128"/>
      <c r="E316" s="128"/>
      <c r="F316" s="128"/>
      <c r="G316" s="128"/>
      <c r="H316" s="21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</row>
    <row r="317" spans="1:26" ht="14.4" x14ac:dyDescent="0.3">
      <c r="A317" s="128"/>
      <c r="B317" s="218"/>
      <c r="C317" s="128"/>
      <c r="D317" s="128"/>
      <c r="E317" s="128"/>
      <c r="F317" s="128"/>
      <c r="G317" s="128"/>
      <c r="H317" s="21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</row>
    <row r="318" spans="1:26" ht="14.4" x14ac:dyDescent="0.3">
      <c r="A318" s="128"/>
      <c r="B318" s="218"/>
      <c r="C318" s="128"/>
      <c r="D318" s="128"/>
      <c r="E318" s="128"/>
      <c r="F318" s="128"/>
      <c r="G318" s="128"/>
      <c r="H318" s="21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</row>
    <row r="319" spans="1:26" ht="14.4" x14ac:dyDescent="0.3">
      <c r="A319" s="128"/>
      <c r="B319" s="218"/>
      <c r="C319" s="128"/>
      <c r="D319" s="128"/>
      <c r="E319" s="128"/>
      <c r="F319" s="128"/>
      <c r="G319" s="128"/>
      <c r="H319" s="21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</row>
    <row r="320" spans="1:26" ht="14.4" x14ac:dyDescent="0.3">
      <c r="A320" s="128"/>
      <c r="B320" s="218"/>
      <c r="C320" s="128"/>
      <c r="D320" s="128"/>
      <c r="E320" s="128"/>
      <c r="F320" s="128"/>
      <c r="G320" s="128"/>
      <c r="H320" s="21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</row>
    <row r="321" spans="1:26" ht="14.4" x14ac:dyDescent="0.3">
      <c r="A321" s="128"/>
      <c r="B321" s="218"/>
      <c r="C321" s="128"/>
      <c r="D321" s="128"/>
      <c r="E321" s="128"/>
      <c r="F321" s="128"/>
      <c r="G321" s="128"/>
      <c r="H321" s="21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</row>
    <row r="322" spans="1:26" ht="14.4" x14ac:dyDescent="0.3">
      <c r="A322" s="128"/>
      <c r="B322" s="218"/>
      <c r="C322" s="128"/>
      <c r="D322" s="128"/>
      <c r="E322" s="128"/>
      <c r="F322" s="128"/>
      <c r="G322" s="128"/>
      <c r="H322" s="21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</row>
    <row r="323" spans="1:26" ht="14.4" x14ac:dyDescent="0.3">
      <c r="A323" s="128"/>
      <c r="B323" s="218"/>
      <c r="C323" s="128"/>
      <c r="D323" s="128"/>
      <c r="E323" s="128"/>
      <c r="F323" s="128"/>
      <c r="G323" s="128"/>
      <c r="H323" s="21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</row>
    <row r="324" spans="1:26" ht="14.4" x14ac:dyDescent="0.3">
      <c r="A324" s="128"/>
      <c r="B324" s="218"/>
      <c r="C324" s="128"/>
      <c r="D324" s="128"/>
      <c r="E324" s="128"/>
      <c r="F324" s="128"/>
      <c r="G324" s="128"/>
      <c r="H324" s="21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</row>
    <row r="325" spans="1:26" ht="14.4" x14ac:dyDescent="0.3">
      <c r="A325" s="128"/>
      <c r="B325" s="218"/>
      <c r="C325" s="128"/>
      <c r="D325" s="128"/>
      <c r="E325" s="128"/>
      <c r="F325" s="128"/>
      <c r="G325" s="128"/>
      <c r="H325" s="21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</row>
    <row r="326" spans="1:26" ht="14.4" x14ac:dyDescent="0.3">
      <c r="A326" s="128"/>
      <c r="B326" s="218"/>
      <c r="C326" s="128"/>
      <c r="D326" s="128"/>
      <c r="E326" s="128"/>
      <c r="F326" s="128"/>
      <c r="G326" s="128"/>
      <c r="H326" s="21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</row>
    <row r="327" spans="1:26" ht="14.4" x14ac:dyDescent="0.3">
      <c r="A327" s="128"/>
      <c r="B327" s="218"/>
      <c r="C327" s="128"/>
      <c r="D327" s="128"/>
      <c r="E327" s="128"/>
      <c r="F327" s="128"/>
      <c r="G327" s="128"/>
      <c r="H327" s="21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</row>
    <row r="328" spans="1:26" ht="14.4" x14ac:dyDescent="0.3">
      <c r="A328" s="128"/>
      <c r="B328" s="218"/>
      <c r="C328" s="128"/>
      <c r="D328" s="128"/>
      <c r="E328" s="128"/>
      <c r="F328" s="128"/>
      <c r="G328" s="128"/>
      <c r="H328" s="21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</row>
    <row r="329" spans="1:26" ht="14.4" x14ac:dyDescent="0.3">
      <c r="A329" s="128"/>
      <c r="B329" s="218"/>
      <c r="C329" s="128"/>
      <c r="D329" s="128"/>
      <c r="E329" s="128"/>
      <c r="F329" s="128"/>
      <c r="G329" s="128"/>
      <c r="H329" s="21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</row>
    <row r="330" spans="1:26" ht="14.4" x14ac:dyDescent="0.3">
      <c r="A330" s="128"/>
      <c r="B330" s="218"/>
      <c r="C330" s="128"/>
      <c r="D330" s="128"/>
      <c r="E330" s="128"/>
      <c r="F330" s="128"/>
      <c r="G330" s="128"/>
      <c r="H330" s="21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</row>
    <row r="331" spans="1:26" ht="14.4" x14ac:dyDescent="0.3">
      <c r="A331" s="128"/>
      <c r="B331" s="218"/>
      <c r="C331" s="128"/>
      <c r="D331" s="128"/>
      <c r="E331" s="128"/>
      <c r="F331" s="128"/>
      <c r="G331" s="128"/>
      <c r="H331" s="21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</row>
    <row r="332" spans="1:26" ht="14.4" x14ac:dyDescent="0.3">
      <c r="A332" s="128"/>
      <c r="B332" s="218"/>
      <c r="C332" s="128"/>
      <c r="D332" s="128"/>
      <c r="E332" s="128"/>
      <c r="F332" s="128"/>
      <c r="G332" s="128"/>
      <c r="H332" s="21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</row>
    <row r="333" spans="1:26" ht="14.4" x14ac:dyDescent="0.3">
      <c r="A333" s="128"/>
      <c r="B333" s="218"/>
      <c r="C333" s="128"/>
      <c r="D333" s="128"/>
      <c r="E333" s="128"/>
      <c r="F333" s="128"/>
      <c r="G333" s="128"/>
      <c r="H333" s="21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</row>
    <row r="334" spans="1:26" ht="14.4" x14ac:dyDescent="0.3">
      <c r="A334" s="128"/>
      <c r="B334" s="218"/>
      <c r="C334" s="128"/>
      <c r="D334" s="128"/>
      <c r="E334" s="128"/>
      <c r="F334" s="128"/>
      <c r="G334" s="128"/>
      <c r="H334" s="21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</row>
    <row r="335" spans="1:26" ht="14.4" x14ac:dyDescent="0.3">
      <c r="A335" s="128"/>
      <c r="B335" s="218"/>
      <c r="C335" s="128"/>
      <c r="D335" s="128"/>
      <c r="E335" s="128"/>
      <c r="F335" s="128"/>
      <c r="G335" s="128"/>
      <c r="H335" s="21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</row>
    <row r="336" spans="1:26" ht="14.4" x14ac:dyDescent="0.3">
      <c r="A336" s="128"/>
      <c r="B336" s="218"/>
      <c r="C336" s="128"/>
      <c r="D336" s="128"/>
      <c r="E336" s="128"/>
      <c r="F336" s="128"/>
      <c r="G336" s="128"/>
      <c r="H336" s="21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</row>
    <row r="337" spans="1:26" ht="14.4" x14ac:dyDescent="0.3">
      <c r="A337" s="128"/>
      <c r="B337" s="218"/>
      <c r="C337" s="128"/>
      <c r="D337" s="128"/>
      <c r="E337" s="128"/>
      <c r="F337" s="128"/>
      <c r="G337" s="128"/>
      <c r="H337" s="21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</row>
    <row r="338" spans="1:26" ht="14.4" x14ac:dyDescent="0.3">
      <c r="A338" s="128"/>
      <c r="B338" s="218"/>
      <c r="C338" s="128"/>
      <c r="D338" s="128"/>
      <c r="E338" s="128"/>
      <c r="F338" s="128"/>
      <c r="G338" s="128"/>
      <c r="H338" s="21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</row>
    <row r="339" spans="1:26" ht="14.4" x14ac:dyDescent="0.3">
      <c r="A339" s="128"/>
      <c r="B339" s="218"/>
      <c r="C339" s="128"/>
      <c r="D339" s="128"/>
      <c r="E339" s="128"/>
      <c r="F339" s="128"/>
      <c r="G339" s="128"/>
      <c r="H339" s="21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</row>
    <row r="340" spans="1:26" ht="14.4" x14ac:dyDescent="0.3">
      <c r="A340" s="128"/>
      <c r="B340" s="218"/>
      <c r="C340" s="128"/>
      <c r="D340" s="128"/>
      <c r="E340" s="128"/>
      <c r="F340" s="128"/>
      <c r="G340" s="128"/>
      <c r="H340" s="21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</row>
    <row r="341" spans="1:26" ht="14.4" x14ac:dyDescent="0.3">
      <c r="A341" s="128"/>
      <c r="B341" s="218"/>
      <c r="C341" s="128"/>
      <c r="D341" s="128"/>
      <c r="E341" s="128"/>
      <c r="F341" s="128"/>
      <c r="G341" s="128"/>
      <c r="H341" s="21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</row>
    <row r="342" spans="1:26" ht="14.4" x14ac:dyDescent="0.3">
      <c r="A342" s="128"/>
      <c r="B342" s="218"/>
      <c r="C342" s="128"/>
      <c r="D342" s="128"/>
      <c r="E342" s="128"/>
      <c r="F342" s="128"/>
      <c r="G342" s="128"/>
      <c r="H342" s="21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</row>
    <row r="343" spans="1:26" ht="14.4" x14ac:dyDescent="0.3">
      <c r="A343" s="128"/>
      <c r="B343" s="218"/>
      <c r="C343" s="128"/>
      <c r="D343" s="128"/>
      <c r="E343" s="128"/>
      <c r="F343" s="128"/>
      <c r="G343" s="128"/>
      <c r="H343" s="21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</row>
    <row r="344" spans="1:26" ht="14.4" x14ac:dyDescent="0.3">
      <c r="A344" s="128"/>
      <c r="B344" s="218"/>
      <c r="C344" s="128"/>
      <c r="D344" s="128"/>
      <c r="E344" s="128"/>
      <c r="F344" s="128"/>
      <c r="G344" s="128"/>
      <c r="H344" s="21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</row>
    <row r="345" spans="1:26" ht="14.4" x14ac:dyDescent="0.3">
      <c r="A345" s="128"/>
      <c r="B345" s="218"/>
      <c r="C345" s="128"/>
      <c r="D345" s="128"/>
      <c r="E345" s="128"/>
      <c r="F345" s="128"/>
      <c r="G345" s="128"/>
      <c r="H345" s="21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</row>
    <row r="346" spans="1:26" ht="14.4" x14ac:dyDescent="0.3">
      <c r="A346" s="128"/>
      <c r="B346" s="218"/>
      <c r="C346" s="128"/>
      <c r="D346" s="128"/>
      <c r="E346" s="128"/>
      <c r="F346" s="128"/>
      <c r="G346" s="128"/>
      <c r="H346" s="21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</row>
    <row r="347" spans="1:26" ht="14.4" x14ac:dyDescent="0.3">
      <c r="A347" s="128"/>
      <c r="B347" s="218"/>
      <c r="C347" s="128"/>
      <c r="D347" s="128"/>
      <c r="E347" s="128"/>
      <c r="F347" s="128"/>
      <c r="G347" s="128"/>
      <c r="H347" s="21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</row>
    <row r="348" spans="1:26" ht="14.4" x14ac:dyDescent="0.3">
      <c r="A348" s="128"/>
      <c r="B348" s="218"/>
      <c r="C348" s="128"/>
      <c r="D348" s="128"/>
      <c r="E348" s="128"/>
      <c r="F348" s="128"/>
      <c r="G348" s="128"/>
      <c r="H348" s="21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</row>
    <row r="349" spans="1:26" ht="14.4" x14ac:dyDescent="0.3">
      <c r="A349" s="128"/>
      <c r="B349" s="218"/>
      <c r="C349" s="128"/>
      <c r="D349" s="128"/>
      <c r="E349" s="128"/>
      <c r="F349" s="128"/>
      <c r="G349" s="128"/>
      <c r="H349" s="21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</row>
    <row r="350" spans="1:26" ht="14.4" x14ac:dyDescent="0.3">
      <c r="A350" s="128"/>
      <c r="B350" s="218"/>
      <c r="C350" s="128"/>
      <c r="D350" s="128"/>
      <c r="E350" s="128"/>
      <c r="F350" s="128"/>
      <c r="G350" s="128"/>
      <c r="H350" s="21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</row>
    <row r="351" spans="1:26" ht="14.4" x14ac:dyDescent="0.3">
      <c r="A351" s="128"/>
      <c r="B351" s="218"/>
      <c r="C351" s="128"/>
      <c r="D351" s="128"/>
      <c r="E351" s="128"/>
      <c r="F351" s="128"/>
      <c r="G351" s="128"/>
      <c r="H351" s="21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</row>
    <row r="352" spans="1:26" ht="14.4" x14ac:dyDescent="0.3">
      <c r="A352" s="128"/>
      <c r="B352" s="218"/>
      <c r="C352" s="128"/>
      <c r="D352" s="128"/>
      <c r="E352" s="128"/>
      <c r="F352" s="128"/>
      <c r="G352" s="128"/>
      <c r="H352" s="21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</row>
    <row r="353" spans="1:26" ht="14.4" x14ac:dyDescent="0.3">
      <c r="A353" s="128"/>
      <c r="B353" s="218"/>
      <c r="C353" s="128"/>
      <c r="D353" s="128"/>
      <c r="E353" s="128"/>
      <c r="F353" s="128"/>
      <c r="G353" s="128"/>
      <c r="H353" s="21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</row>
    <row r="354" spans="1:26" ht="14.4" x14ac:dyDescent="0.3">
      <c r="A354" s="128"/>
      <c r="B354" s="218"/>
      <c r="C354" s="128"/>
      <c r="D354" s="128"/>
      <c r="E354" s="128"/>
      <c r="F354" s="128"/>
      <c r="G354" s="128"/>
      <c r="H354" s="21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</row>
    <row r="355" spans="1:26" ht="14.4" x14ac:dyDescent="0.3">
      <c r="A355" s="128"/>
      <c r="B355" s="218"/>
      <c r="C355" s="128"/>
      <c r="D355" s="128"/>
      <c r="E355" s="128"/>
      <c r="F355" s="128"/>
      <c r="G355" s="128"/>
      <c r="H355" s="21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</row>
    <row r="356" spans="1:26" ht="14.4" x14ac:dyDescent="0.3">
      <c r="A356" s="128"/>
      <c r="B356" s="218"/>
      <c r="C356" s="128"/>
      <c r="D356" s="128"/>
      <c r="E356" s="128"/>
      <c r="F356" s="128"/>
      <c r="G356" s="128"/>
      <c r="H356" s="21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</row>
    <row r="357" spans="1:26" ht="14.4" x14ac:dyDescent="0.3">
      <c r="A357" s="128"/>
      <c r="B357" s="218"/>
      <c r="C357" s="128"/>
      <c r="D357" s="128"/>
      <c r="E357" s="128"/>
      <c r="F357" s="128"/>
      <c r="G357" s="128"/>
      <c r="H357" s="21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</row>
    <row r="358" spans="1:26" ht="14.4" x14ac:dyDescent="0.3">
      <c r="A358" s="128"/>
      <c r="B358" s="218"/>
      <c r="C358" s="128"/>
      <c r="D358" s="128"/>
      <c r="E358" s="128"/>
      <c r="F358" s="128"/>
      <c r="G358" s="128"/>
      <c r="H358" s="21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</row>
    <row r="359" spans="1:26" ht="14.4" x14ac:dyDescent="0.3">
      <c r="A359" s="128"/>
      <c r="B359" s="218"/>
      <c r="C359" s="128"/>
      <c r="D359" s="128"/>
      <c r="E359" s="128"/>
      <c r="F359" s="128"/>
      <c r="G359" s="128"/>
      <c r="H359" s="21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</row>
    <row r="360" spans="1:26" ht="14.4" x14ac:dyDescent="0.3">
      <c r="A360" s="128"/>
      <c r="B360" s="218"/>
      <c r="C360" s="128"/>
      <c r="D360" s="128"/>
      <c r="E360" s="128"/>
      <c r="F360" s="128"/>
      <c r="G360" s="128"/>
      <c r="H360" s="21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</row>
    <row r="361" spans="1:26" ht="14.4" x14ac:dyDescent="0.3">
      <c r="A361" s="128"/>
      <c r="B361" s="218"/>
      <c r="C361" s="128"/>
      <c r="D361" s="128"/>
      <c r="E361" s="128"/>
      <c r="F361" s="128"/>
      <c r="G361" s="128"/>
      <c r="H361" s="21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</row>
    <row r="362" spans="1:26" ht="14.4" x14ac:dyDescent="0.3">
      <c r="A362" s="128"/>
      <c r="B362" s="218"/>
      <c r="C362" s="128"/>
      <c r="D362" s="128"/>
      <c r="E362" s="128"/>
      <c r="F362" s="128"/>
      <c r="G362" s="128"/>
      <c r="H362" s="21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</row>
    <row r="363" spans="1:26" ht="14.4" x14ac:dyDescent="0.3">
      <c r="A363" s="128"/>
      <c r="B363" s="218"/>
      <c r="C363" s="128"/>
      <c r="D363" s="128"/>
      <c r="E363" s="128"/>
      <c r="F363" s="128"/>
      <c r="G363" s="128"/>
      <c r="H363" s="21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</row>
    <row r="364" spans="1:26" ht="14.4" x14ac:dyDescent="0.3">
      <c r="A364" s="128"/>
      <c r="B364" s="218"/>
      <c r="C364" s="128"/>
      <c r="D364" s="128"/>
      <c r="E364" s="128"/>
      <c r="F364" s="128"/>
      <c r="G364" s="128"/>
      <c r="H364" s="21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</row>
    <row r="365" spans="1:26" ht="14.4" x14ac:dyDescent="0.3">
      <c r="A365" s="128"/>
      <c r="B365" s="218"/>
      <c r="C365" s="128"/>
      <c r="D365" s="128"/>
      <c r="E365" s="128"/>
      <c r="F365" s="128"/>
      <c r="G365" s="128"/>
      <c r="H365" s="21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</row>
    <row r="366" spans="1:26" ht="14.4" x14ac:dyDescent="0.3">
      <c r="A366" s="128"/>
      <c r="B366" s="218"/>
      <c r="C366" s="128"/>
      <c r="D366" s="128"/>
      <c r="E366" s="128"/>
      <c r="F366" s="128"/>
      <c r="G366" s="128"/>
      <c r="H366" s="21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</row>
    <row r="367" spans="1:26" ht="14.4" x14ac:dyDescent="0.3">
      <c r="A367" s="128"/>
      <c r="B367" s="218"/>
      <c r="C367" s="128"/>
      <c r="D367" s="128"/>
      <c r="E367" s="128"/>
      <c r="F367" s="128"/>
      <c r="G367" s="128"/>
      <c r="H367" s="21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</row>
    <row r="368" spans="1:26" ht="14.4" x14ac:dyDescent="0.3">
      <c r="A368" s="128"/>
      <c r="B368" s="218"/>
      <c r="C368" s="128"/>
      <c r="D368" s="128"/>
      <c r="E368" s="128"/>
      <c r="F368" s="128"/>
      <c r="G368" s="128"/>
      <c r="H368" s="21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</row>
    <row r="369" spans="1:26" ht="14.4" x14ac:dyDescent="0.3">
      <c r="A369" s="128"/>
      <c r="B369" s="218"/>
      <c r="C369" s="128"/>
      <c r="D369" s="128"/>
      <c r="E369" s="128"/>
      <c r="F369" s="128"/>
      <c r="G369" s="128"/>
      <c r="H369" s="21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</row>
    <row r="370" spans="1:26" ht="14.4" x14ac:dyDescent="0.3">
      <c r="A370" s="128"/>
      <c r="B370" s="218"/>
      <c r="C370" s="128"/>
      <c r="D370" s="128"/>
      <c r="E370" s="128"/>
      <c r="F370" s="128"/>
      <c r="G370" s="128"/>
      <c r="H370" s="21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</row>
    <row r="371" spans="1:26" ht="14.4" x14ac:dyDescent="0.3">
      <c r="A371" s="128"/>
      <c r="B371" s="218"/>
      <c r="C371" s="128"/>
      <c r="D371" s="128"/>
      <c r="E371" s="128"/>
      <c r="F371" s="128"/>
      <c r="G371" s="128"/>
      <c r="H371" s="21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</row>
    <row r="372" spans="1:26" ht="14.4" x14ac:dyDescent="0.3">
      <c r="A372" s="128"/>
      <c r="B372" s="218"/>
      <c r="C372" s="128"/>
      <c r="D372" s="128"/>
      <c r="E372" s="128"/>
      <c r="F372" s="128"/>
      <c r="G372" s="128"/>
      <c r="H372" s="21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</row>
    <row r="373" spans="1:26" ht="14.4" x14ac:dyDescent="0.3">
      <c r="A373" s="128"/>
      <c r="B373" s="218"/>
      <c r="C373" s="128"/>
      <c r="D373" s="128"/>
      <c r="E373" s="128"/>
      <c r="F373" s="128"/>
      <c r="G373" s="128"/>
      <c r="H373" s="21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</row>
    <row r="374" spans="1:26" ht="14.4" x14ac:dyDescent="0.3">
      <c r="A374" s="128"/>
      <c r="B374" s="218"/>
      <c r="C374" s="128"/>
      <c r="D374" s="128"/>
      <c r="E374" s="128"/>
      <c r="F374" s="128"/>
      <c r="G374" s="128"/>
      <c r="H374" s="21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</row>
    <row r="375" spans="1:26" ht="14.4" x14ac:dyDescent="0.3">
      <c r="A375" s="128"/>
      <c r="B375" s="218"/>
      <c r="C375" s="128"/>
      <c r="D375" s="128"/>
      <c r="E375" s="128"/>
      <c r="F375" s="128"/>
      <c r="G375" s="128"/>
      <c r="H375" s="21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</row>
    <row r="376" spans="1:26" ht="14.4" x14ac:dyDescent="0.3">
      <c r="A376" s="128"/>
      <c r="B376" s="218"/>
      <c r="C376" s="128"/>
      <c r="D376" s="128"/>
      <c r="E376" s="128"/>
      <c r="F376" s="128"/>
      <c r="G376" s="128"/>
      <c r="H376" s="21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</row>
    <row r="377" spans="1:26" ht="14.4" x14ac:dyDescent="0.3">
      <c r="A377" s="128"/>
      <c r="B377" s="218"/>
      <c r="C377" s="128"/>
      <c r="D377" s="128"/>
      <c r="E377" s="128"/>
      <c r="F377" s="128"/>
      <c r="G377" s="128"/>
      <c r="H377" s="21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</row>
    <row r="378" spans="1:26" ht="14.4" x14ac:dyDescent="0.3">
      <c r="A378" s="128"/>
      <c r="B378" s="218"/>
      <c r="C378" s="128"/>
      <c r="D378" s="128"/>
      <c r="E378" s="128"/>
      <c r="F378" s="128"/>
      <c r="G378" s="128"/>
      <c r="H378" s="21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</row>
    <row r="379" spans="1:26" ht="14.4" x14ac:dyDescent="0.3">
      <c r="A379" s="128"/>
      <c r="B379" s="218"/>
      <c r="C379" s="128"/>
      <c r="D379" s="128"/>
      <c r="E379" s="128"/>
      <c r="F379" s="128"/>
      <c r="G379" s="128"/>
      <c r="H379" s="21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</row>
    <row r="380" spans="1:26" ht="14.4" x14ac:dyDescent="0.3">
      <c r="A380" s="128"/>
      <c r="B380" s="218"/>
      <c r="C380" s="128"/>
      <c r="D380" s="128"/>
      <c r="E380" s="128"/>
      <c r="F380" s="128"/>
      <c r="G380" s="128"/>
      <c r="H380" s="21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</row>
    <row r="381" spans="1:26" ht="14.4" x14ac:dyDescent="0.3">
      <c r="A381" s="128"/>
      <c r="B381" s="218"/>
      <c r="C381" s="128"/>
      <c r="D381" s="128"/>
      <c r="E381" s="128"/>
      <c r="F381" s="128"/>
      <c r="G381" s="128"/>
      <c r="H381" s="21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</row>
    <row r="382" spans="1:26" ht="14.4" x14ac:dyDescent="0.3">
      <c r="A382" s="128"/>
      <c r="B382" s="218"/>
      <c r="C382" s="128"/>
      <c r="D382" s="128"/>
      <c r="E382" s="128"/>
      <c r="F382" s="128"/>
      <c r="G382" s="128"/>
      <c r="H382" s="21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</row>
    <row r="383" spans="1:26" ht="14.4" x14ac:dyDescent="0.3">
      <c r="A383" s="128"/>
      <c r="B383" s="218"/>
      <c r="C383" s="128"/>
      <c r="D383" s="128"/>
      <c r="E383" s="128"/>
      <c r="F383" s="128"/>
      <c r="G383" s="128"/>
      <c r="H383" s="21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</row>
    <row r="384" spans="1:26" ht="14.4" x14ac:dyDescent="0.3">
      <c r="A384" s="128"/>
      <c r="B384" s="218"/>
      <c r="C384" s="128"/>
      <c r="D384" s="128"/>
      <c r="E384" s="128"/>
      <c r="F384" s="128"/>
      <c r="G384" s="128"/>
      <c r="H384" s="21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</row>
    <row r="385" spans="1:26" ht="14.4" x14ac:dyDescent="0.3">
      <c r="A385" s="128"/>
      <c r="B385" s="218"/>
      <c r="C385" s="128"/>
      <c r="D385" s="128"/>
      <c r="E385" s="128"/>
      <c r="F385" s="128"/>
      <c r="G385" s="128"/>
      <c r="H385" s="21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</row>
    <row r="386" spans="1:26" ht="14.4" x14ac:dyDescent="0.3">
      <c r="A386" s="128"/>
      <c r="B386" s="218"/>
      <c r="C386" s="128"/>
      <c r="D386" s="128"/>
      <c r="E386" s="128"/>
      <c r="F386" s="128"/>
      <c r="G386" s="128"/>
      <c r="H386" s="21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</row>
    <row r="387" spans="1:26" ht="14.4" x14ac:dyDescent="0.3">
      <c r="A387" s="128"/>
      <c r="B387" s="218"/>
      <c r="C387" s="128"/>
      <c r="D387" s="128"/>
      <c r="E387" s="128"/>
      <c r="F387" s="128"/>
      <c r="G387" s="128"/>
      <c r="H387" s="21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</row>
    <row r="388" spans="1:26" ht="14.4" x14ac:dyDescent="0.3">
      <c r="A388" s="128"/>
      <c r="B388" s="218"/>
      <c r="C388" s="128"/>
      <c r="D388" s="128"/>
      <c r="E388" s="128"/>
      <c r="F388" s="128"/>
      <c r="G388" s="128"/>
      <c r="H388" s="21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</row>
    <row r="389" spans="1:26" ht="14.4" x14ac:dyDescent="0.3">
      <c r="A389" s="128"/>
      <c r="B389" s="218"/>
      <c r="C389" s="128"/>
      <c r="D389" s="128"/>
      <c r="E389" s="128"/>
      <c r="F389" s="128"/>
      <c r="G389" s="128"/>
      <c r="H389" s="21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</row>
    <row r="390" spans="1:26" ht="14.4" x14ac:dyDescent="0.3">
      <c r="A390" s="128"/>
      <c r="B390" s="218"/>
      <c r="C390" s="128"/>
      <c r="D390" s="128"/>
      <c r="E390" s="128"/>
      <c r="F390" s="128"/>
      <c r="G390" s="128"/>
      <c r="H390" s="21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</row>
    <row r="391" spans="1:26" ht="14.4" x14ac:dyDescent="0.3">
      <c r="A391" s="128"/>
      <c r="B391" s="218"/>
      <c r="C391" s="128"/>
      <c r="D391" s="128"/>
      <c r="E391" s="128"/>
      <c r="F391" s="128"/>
      <c r="G391" s="128"/>
      <c r="H391" s="21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</row>
    <row r="392" spans="1:26" ht="14.4" x14ac:dyDescent="0.3">
      <c r="A392" s="128"/>
      <c r="B392" s="218"/>
      <c r="C392" s="128"/>
      <c r="D392" s="128"/>
      <c r="E392" s="128"/>
      <c r="F392" s="128"/>
      <c r="G392" s="128"/>
      <c r="H392" s="21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</row>
    <row r="393" spans="1:26" ht="14.4" x14ac:dyDescent="0.3">
      <c r="A393" s="128"/>
      <c r="B393" s="218"/>
      <c r="C393" s="128"/>
      <c r="D393" s="128"/>
      <c r="E393" s="128"/>
      <c r="F393" s="128"/>
      <c r="G393" s="128"/>
      <c r="H393" s="21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</row>
    <row r="394" spans="1:26" ht="14.4" x14ac:dyDescent="0.3">
      <c r="A394" s="128"/>
      <c r="B394" s="218"/>
      <c r="C394" s="128"/>
      <c r="D394" s="128"/>
      <c r="E394" s="128"/>
      <c r="F394" s="128"/>
      <c r="G394" s="128"/>
      <c r="H394" s="21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</row>
    <row r="395" spans="1:26" ht="14.4" x14ac:dyDescent="0.3">
      <c r="A395" s="128"/>
      <c r="B395" s="218"/>
      <c r="C395" s="128"/>
      <c r="D395" s="128"/>
      <c r="E395" s="128"/>
      <c r="F395" s="128"/>
      <c r="G395" s="128"/>
      <c r="H395" s="21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</row>
    <row r="396" spans="1:26" ht="14.4" x14ac:dyDescent="0.3">
      <c r="A396" s="128"/>
      <c r="B396" s="218"/>
      <c r="C396" s="128"/>
      <c r="D396" s="128"/>
      <c r="E396" s="128"/>
      <c r="F396" s="128"/>
      <c r="G396" s="128"/>
      <c r="H396" s="21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</row>
    <row r="397" spans="1:26" ht="14.4" x14ac:dyDescent="0.3">
      <c r="A397" s="128"/>
      <c r="B397" s="218"/>
      <c r="C397" s="128"/>
      <c r="D397" s="128"/>
      <c r="E397" s="128"/>
      <c r="F397" s="128"/>
      <c r="G397" s="128"/>
      <c r="H397" s="21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</row>
    <row r="398" spans="1:26" ht="14.4" x14ac:dyDescent="0.3">
      <c r="A398" s="128"/>
      <c r="B398" s="218"/>
      <c r="C398" s="128"/>
      <c r="D398" s="128"/>
      <c r="E398" s="128"/>
      <c r="F398" s="128"/>
      <c r="G398" s="128"/>
      <c r="H398" s="21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</row>
    <row r="399" spans="1:26" ht="14.4" x14ac:dyDescent="0.3">
      <c r="A399" s="128"/>
      <c r="B399" s="218"/>
      <c r="C399" s="128"/>
      <c r="D399" s="128"/>
      <c r="E399" s="128"/>
      <c r="F399" s="128"/>
      <c r="G399" s="128"/>
      <c r="H399" s="21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</row>
    <row r="400" spans="1:26" ht="14.4" x14ac:dyDescent="0.3">
      <c r="A400" s="128"/>
      <c r="B400" s="218"/>
      <c r="C400" s="128"/>
      <c r="D400" s="128"/>
      <c r="E400" s="128"/>
      <c r="F400" s="128"/>
      <c r="G400" s="128"/>
      <c r="H400" s="21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</row>
    <row r="401" spans="1:26" ht="14.4" x14ac:dyDescent="0.3">
      <c r="A401" s="128"/>
      <c r="B401" s="218"/>
      <c r="C401" s="128"/>
      <c r="D401" s="128"/>
      <c r="E401" s="128"/>
      <c r="F401" s="128"/>
      <c r="G401" s="128"/>
      <c r="H401" s="21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</row>
    <row r="402" spans="1:26" ht="14.4" x14ac:dyDescent="0.3">
      <c r="A402" s="128"/>
      <c r="B402" s="218"/>
      <c r="C402" s="128"/>
      <c r="D402" s="128"/>
      <c r="E402" s="128"/>
      <c r="F402" s="128"/>
      <c r="G402" s="128"/>
      <c r="H402" s="21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</row>
    <row r="403" spans="1:26" ht="14.4" x14ac:dyDescent="0.3">
      <c r="A403" s="128"/>
      <c r="B403" s="218"/>
      <c r="C403" s="128"/>
      <c r="D403" s="128"/>
      <c r="E403" s="128"/>
      <c r="F403" s="128"/>
      <c r="G403" s="128"/>
      <c r="H403" s="21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</row>
    <row r="404" spans="1:26" ht="14.4" x14ac:dyDescent="0.3">
      <c r="A404" s="128"/>
      <c r="B404" s="218"/>
      <c r="C404" s="128"/>
      <c r="D404" s="128"/>
      <c r="E404" s="128"/>
      <c r="F404" s="128"/>
      <c r="G404" s="128"/>
      <c r="H404" s="21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</row>
    <row r="405" spans="1:26" ht="14.4" x14ac:dyDescent="0.3">
      <c r="A405" s="128"/>
      <c r="B405" s="218"/>
      <c r="C405" s="128"/>
      <c r="D405" s="128"/>
      <c r="E405" s="128"/>
      <c r="F405" s="128"/>
      <c r="G405" s="128"/>
      <c r="H405" s="21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</row>
    <row r="406" spans="1:26" ht="14.4" x14ac:dyDescent="0.3">
      <c r="A406" s="128"/>
      <c r="B406" s="218"/>
      <c r="C406" s="128"/>
      <c r="D406" s="128"/>
      <c r="E406" s="128"/>
      <c r="F406" s="128"/>
      <c r="G406" s="128"/>
      <c r="H406" s="21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</row>
    <row r="407" spans="1:26" ht="14.4" x14ac:dyDescent="0.3">
      <c r="A407" s="128"/>
      <c r="B407" s="218"/>
      <c r="C407" s="128"/>
      <c r="D407" s="128"/>
      <c r="E407" s="128"/>
      <c r="F407" s="128"/>
      <c r="G407" s="128"/>
      <c r="H407" s="21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</row>
    <row r="408" spans="1:26" ht="14.4" x14ac:dyDescent="0.3">
      <c r="A408" s="128"/>
      <c r="B408" s="218"/>
      <c r="C408" s="128"/>
      <c r="D408" s="128"/>
      <c r="E408" s="128"/>
      <c r="F408" s="128"/>
      <c r="G408" s="128"/>
      <c r="H408" s="21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</row>
    <row r="409" spans="1:26" ht="14.4" x14ac:dyDescent="0.3">
      <c r="A409" s="128"/>
      <c r="B409" s="218"/>
      <c r="C409" s="128"/>
      <c r="D409" s="128"/>
      <c r="E409" s="128"/>
      <c r="F409" s="128"/>
      <c r="G409" s="128"/>
      <c r="H409" s="21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</row>
    <row r="410" spans="1:26" ht="14.4" x14ac:dyDescent="0.3">
      <c r="A410" s="128"/>
      <c r="B410" s="218"/>
      <c r="C410" s="128"/>
      <c r="D410" s="128"/>
      <c r="E410" s="128"/>
      <c r="F410" s="128"/>
      <c r="G410" s="128"/>
      <c r="H410" s="21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</row>
    <row r="411" spans="1:26" ht="14.4" x14ac:dyDescent="0.3">
      <c r="A411" s="128"/>
      <c r="B411" s="218"/>
      <c r="C411" s="128"/>
      <c r="D411" s="128"/>
      <c r="E411" s="128"/>
      <c r="F411" s="128"/>
      <c r="G411" s="128"/>
      <c r="H411" s="21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</row>
    <row r="412" spans="1:26" ht="14.4" x14ac:dyDescent="0.3">
      <c r="A412" s="128"/>
      <c r="B412" s="218"/>
      <c r="C412" s="128"/>
      <c r="D412" s="128"/>
      <c r="E412" s="128"/>
      <c r="F412" s="128"/>
      <c r="G412" s="128"/>
      <c r="H412" s="21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</row>
    <row r="413" spans="1:26" ht="14.4" x14ac:dyDescent="0.3">
      <c r="A413" s="128"/>
      <c r="B413" s="218"/>
      <c r="C413" s="128"/>
      <c r="D413" s="128"/>
      <c r="E413" s="128"/>
      <c r="F413" s="128"/>
      <c r="G413" s="128"/>
      <c r="H413" s="21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</row>
    <row r="414" spans="1:26" ht="14.4" x14ac:dyDescent="0.3">
      <c r="A414" s="128"/>
      <c r="B414" s="218"/>
      <c r="C414" s="128"/>
      <c r="D414" s="128"/>
      <c r="E414" s="128"/>
      <c r="F414" s="128"/>
      <c r="G414" s="128"/>
      <c r="H414" s="21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</row>
    <row r="415" spans="1:26" ht="14.4" x14ac:dyDescent="0.3">
      <c r="A415" s="128"/>
      <c r="B415" s="218"/>
      <c r="C415" s="128"/>
      <c r="D415" s="128"/>
      <c r="E415" s="128"/>
      <c r="F415" s="128"/>
      <c r="G415" s="128"/>
      <c r="H415" s="21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</row>
    <row r="416" spans="1:26" ht="14.4" x14ac:dyDescent="0.3">
      <c r="A416" s="128"/>
      <c r="B416" s="218"/>
      <c r="C416" s="128"/>
      <c r="D416" s="128"/>
      <c r="E416" s="128"/>
      <c r="F416" s="128"/>
      <c r="G416" s="128"/>
      <c r="H416" s="21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</row>
    <row r="417" spans="1:26" ht="14.4" x14ac:dyDescent="0.3">
      <c r="A417" s="128"/>
      <c r="B417" s="218"/>
      <c r="C417" s="128"/>
      <c r="D417" s="128"/>
      <c r="E417" s="128"/>
      <c r="F417" s="128"/>
      <c r="G417" s="128"/>
      <c r="H417" s="21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</row>
    <row r="418" spans="1:26" ht="14.4" x14ac:dyDescent="0.3">
      <c r="A418" s="128"/>
      <c r="B418" s="218"/>
      <c r="C418" s="128"/>
      <c r="D418" s="128"/>
      <c r="E418" s="128"/>
      <c r="F418" s="128"/>
      <c r="G418" s="128"/>
      <c r="H418" s="21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</row>
    <row r="419" spans="1:26" ht="14.4" x14ac:dyDescent="0.3">
      <c r="A419" s="128"/>
      <c r="B419" s="218"/>
      <c r="C419" s="128"/>
      <c r="D419" s="128"/>
      <c r="E419" s="128"/>
      <c r="F419" s="128"/>
      <c r="G419" s="128"/>
      <c r="H419" s="21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</row>
    <row r="420" spans="1:26" ht="14.4" x14ac:dyDescent="0.3">
      <c r="A420" s="128"/>
      <c r="B420" s="218"/>
      <c r="C420" s="128"/>
      <c r="D420" s="128"/>
      <c r="E420" s="128"/>
      <c r="F420" s="128"/>
      <c r="G420" s="128"/>
      <c r="H420" s="21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</row>
    <row r="421" spans="1:26" ht="14.4" x14ac:dyDescent="0.3">
      <c r="A421" s="128"/>
      <c r="B421" s="218"/>
      <c r="C421" s="128"/>
      <c r="D421" s="128"/>
      <c r="E421" s="128"/>
      <c r="F421" s="128"/>
      <c r="G421" s="128"/>
      <c r="H421" s="21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</row>
    <row r="422" spans="1:26" ht="14.4" x14ac:dyDescent="0.3">
      <c r="A422" s="128"/>
      <c r="B422" s="218"/>
      <c r="C422" s="128"/>
      <c r="D422" s="128"/>
      <c r="E422" s="128"/>
      <c r="F422" s="128"/>
      <c r="G422" s="128"/>
      <c r="H422" s="21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</row>
    <row r="423" spans="1:26" ht="14.4" x14ac:dyDescent="0.3">
      <c r="A423" s="128"/>
      <c r="B423" s="218"/>
      <c r="C423" s="128"/>
      <c r="D423" s="128"/>
      <c r="E423" s="128"/>
      <c r="F423" s="128"/>
      <c r="G423" s="128"/>
      <c r="H423" s="21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</row>
    <row r="424" spans="1:26" ht="14.4" x14ac:dyDescent="0.3">
      <c r="A424" s="128"/>
      <c r="B424" s="218"/>
      <c r="C424" s="128"/>
      <c r="D424" s="128"/>
      <c r="E424" s="128"/>
      <c r="F424" s="128"/>
      <c r="G424" s="128"/>
      <c r="H424" s="21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</row>
    <row r="425" spans="1:26" ht="14.4" x14ac:dyDescent="0.3">
      <c r="A425" s="128"/>
      <c r="B425" s="218"/>
      <c r="C425" s="128"/>
      <c r="D425" s="128"/>
      <c r="E425" s="128"/>
      <c r="F425" s="128"/>
      <c r="G425" s="128"/>
      <c r="H425" s="21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</row>
    <row r="426" spans="1:26" ht="14.4" x14ac:dyDescent="0.3">
      <c r="A426" s="128"/>
      <c r="B426" s="218"/>
      <c r="C426" s="128"/>
      <c r="D426" s="128"/>
      <c r="E426" s="128"/>
      <c r="F426" s="128"/>
      <c r="G426" s="128"/>
      <c r="H426" s="21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</row>
    <row r="427" spans="1:26" ht="14.4" x14ac:dyDescent="0.3">
      <c r="A427" s="128"/>
      <c r="B427" s="218"/>
      <c r="C427" s="128"/>
      <c r="D427" s="128"/>
      <c r="E427" s="128"/>
      <c r="F427" s="128"/>
      <c r="G427" s="128"/>
      <c r="H427" s="21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</row>
    <row r="428" spans="1:26" ht="14.4" x14ac:dyDescent="0.3">
      <c r="A428" s="128"/>
      <c r="B428" s="218"/>
      <c r="C428" s="128"/>
      <c r="D428" s="128"/>
      <c r="E428" s="128"/>
      <c r="F428" s="128"/>
      <c r="G428" s="128"/>
      <c r="H428" s="21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</row>
    <row r="429" spans="1:26" ht="14.4" x14ac:dyDescent="0.3">
      <c r="A429" s="128"/>
      <c r="B429" s="218"/>
      <c r="C429" s="128"/>
      <c r="D429" s="128"/>
      <c r="E429" s="128"/>
      <c r="F429" s="128"/>
      <c r="G429" s="128"/>
      <c r="H429" s="21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</row>
    <row r="430" spans="1:26" ht="14.4" x14ac:dyDescent="0.3">
      <c r="A430" s="128"/>
      <c r="B430" s="218"/>
      <c r="C430" s="128"/>
      <c r="D430" s="128"/>
      <c r="E430" s="128"/>
      <c r="F430" s="128"/>
      <c r="G430" s="128"/>
      <c r="H430" s="21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</row>
    <row r="431" spans="1:26" ht="14.4" x14ac:dyDescent="0.3">
      <c r="A431" s="128"/>
      <c r="B431" s="218"/>
      <c r="C431" s="128"/>
      <c r="D431" s="128"/>
      <c r="E431" s="128"/>
      <c r="F431" s="128"/>
      <c r="G431" s="128"/>
      <c r="H431" s="21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</row>
    <row r="432" spans="1:26" ht="14.4" x14ac:dyDescent="0.3">
      <c r="A432" s="128"/>
      <c r="B432" s="218"/>
      <c r="C432" s="128"/>
      <c r="D432" s="128"/>
      <c r="E432" s="128"/>
      <c r="F432" s="128"/>
      <c r="G432" s="128"/>
      <c r="H432" s="21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</row>
    <row r="433" spans="1:26" ht="14.4" x14ac:dyDescent="0.3">
      <c r="A433" s="128"/>
      <c r="B433" s="218"/>
      <c r="C433" s="128"/>
      <c r="D433" s="128"/>
      <c r="E433" s="128"/>
      <c r="F433" s="128"/>
      <c r="G433" s="128"/>
      <c r="H433" s="21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</row>
    <row r="434" spans="1:26" ht="14.4" x14ac:dyDescent="0.3">
      <c r="A434" s="128"/>
      <c r="B434" s="218"/>
      <c r="C434" s="128"/>
      <c r="D434" s="128"/>
      <c r="E434" s="128"/>
      <c r="F434" s="128"/>
      <c r="G434" s="128"/>
      <c r="H434" s="21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</row>
    <row r="435" spans="1:26" ht="14.4" x14ac:dyDescent="0.3">
      <c r="A435" s="128"/>
      <c r="B435" s="218"/>
      <c r="C435" s="128"/>
      <c r="D435" s="128"/>
      <c r="E435" s="128"/>
      <c r="F435" s="128"/>
      <c r="G435" s="128"/>
      <c r="H435" s="21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</row>
    <row r="436" spans="1:26" ht="14.4" x14ac:dyDescent="0.3">
      <c r="A436" s="128"/>
      <c r="B436" s="218"/>
      <c r="C436" s="128"/>
      <c r="D436" s="128"/>
      <c r="E436" s="128"/>
      <c r="F436" s="128"/>
      <c r="G436" s="128"/>
      <c r="H436" s="21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</row>
    <row r="437" spans="1:26" ht="14.4" x14ac:dyDescent="0.3">
      <c r="A437" s="128"/>
      <c r="B437" s="218"/>
      <c r="C437" s="128"/>
      <c r="D437" s="128"/>
      <c r="E437" s="128"/>
      <c r="F437" s="128"/>
      <c r="G437" s="128"/>
      <c r="H437" s="21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</row>
    <row r="438" spans="1:26" ht="14.4" x14ac:dyDescent="0.3">
      <c r="A438" s="128"/>
      <c r="B438" s="218"/>
      <c r="C438" s="128"/>
      <c r="D438" s="128"/>
      <c r="E438" s="128"/>
      <c r="F438" s="128"/>
      <c r="G438" s="128"/>
      <c r="H438" s="21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</row>
    <row r="439" spans="1:26" ht="14.4" x14ac:dyDescent="0.3">
      <c r="A439" s="128"/>
      <c r="B439" s="218"/>
      <c r="C439" s="128"/>
      <c r="D439" s="128"/>
      <c r="E439" s="128"/>
      <c r="F439" s="128"/>
      <c r="G439" s="128"/>
      <c r="H439" s="21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</row>
    <row r="440" spans="1:26" ht="14.4" x14ac:dyDescent="0.3">
      <c r="A440" s="128"/>
      <c r="B440" s="218"/>
      <c r="C440" s="128"/>
      <c r="D440" s="128"/>
      <c r="E440" s="128"/>
      <c r="F440" s="128"/>
      <c r="G440" s="128"/>
      <c r="H440" s="21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</row>
    <row r="441" spans="1:26" ht="14.4" x14ac:dyDescent="0.3">
      <c r="A441" s="128"/>
      <c r="B441" s="218"/>
      <c r="C441" s="128"/>
      <c r="D441" s="128"/>
      <c r="E441" s="128"/>
      <c r="F441" s="128"/>
      <c r="G441" s="128"/>
      <c r="H441" s="21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</row>
    <row r="442" spans="1:26" ht="14.4" x14ac:dyDescent="0.3">
      <c r="A442" s="128"/>
      <c r="B442" s="218"/>
      <c r="C442" s="128"/>
      <c r="D442" s="128"/>
      <c r="E442" s="128"/>
      <c r="F442" s="128"/>
      <c r="G442" s="128"/>
      <c r="H442" s="21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</row>
    <row r="443" spans="1:26" ht="14.4" x14ac:dyDescent="0.3">
      <c r="A443" s="128"/>
      <c r="B443" s="218"/>
      <c r="C443" s="128"/>
      <c r="D443" s="128"/>
      <c r="E443" s="128"/>
      <c r="F443" s="128"/>
      <c r="G443" s="128"/>
      <c r="H443" s="21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</row>
    <row r="444" spans="1:26" ht="14.4" x14ac:dyDescent="0.3">
      <c r="A444" s="128"/>
      <c r="B444" s="218"/>
      <c r="C444" s="128"/>
      <c r="D444" s="128"/>
      <c r="E444" s="128"/>
      <c r="F444" s="128"/>
      <c r="G444" s="128"/>
      <c r="H444" s="21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</row>
    <row r="445" spans="1:26" ht="14.4" x14ac:dyDescent="0.3">
      <c r="A445" s="128"/>
      <c r="B445" s="218"/>
      <c r="C445" s="128"/>
      <c r="D445" s="128"/>
      <c r="E445" s="128"/>
      <c r="F445" s="128"/>
      <c r="G445" s="128"/>
      <c r="H445" s="21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</row>
    <row r="446" spans="1:26" ht="14.4" x14ac:dyDescent="0.3">
      <c r="A446" s="128"/>
      <c r="B446" s="218"/>
      <c r="C446" s="128"/>
      <c r="D446" s="128"/>
      <c r="E446" s="128"/>
      <c r="F446" s="128"/>
      <c r="G446" s="128"/>
      <c r="H446" s="21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</row>
    <row r="447" spans="1:26" ht="14.4" x14ac:dyDescent="0.3">
      <c r="A447" s="128"/>
      <c r="B447" s="218"/>
      <c r="C447" s="128"/>
      <c r="D447" s="128"/>
      <c r="E447" s="128"/>
      <c r="F447" s="128"/>
      <c r="G447" s="128"/>
      <c r="H447" s="21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</row>
    <row r="448" spans="1:26" ht="14.4" x14ac:dyDescent="0.3">
      <c r="A448" s="128"/>
      <c r="B448" s="218"/>
      <c r="C448" s="128"/>
      <c r="D448" s="128"/>
      <c r="E448" s="128"/>
      <c r="F448" s="128"/>
      <c r="G448" s="128"/>
      <c r="H448" s="21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</row>
    <row r="449" spans="1:26" ht="14.4" x14ac:dyDescent="0.3">
      <c r="A449" s="128"/>
      <c r="B449" s="218"/>
      <c r="C449" s="128"/>
      <c r="D449" s="128"/>
      <c r="E449" s="128"/>
      <c r="F449" s="128"/>
      <c r="G449" s="128"/>
      <c r="H449" s="21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</row>
    <row r="450" spans="1:26" ht="14.4" x14ac:dyDescent="0.3">
      <c r="A450" s="128"/>
      <c r="B450" s="218"/>
      <c r="C450" s="128"/>
      <c r="D450" s="128"/>
      <c r="E450" s="128"/>
      <c r="F450" s="128"/>
      <c r="G450" s="128"/>
      <c r="H450" s="21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</row>
    <row r="451" spans="1:26" ht="14.4" x14ac:dyDescent="0.3">
      <c r="A451" s="128"/>
      <c r="B451" s="218"/>
      <c r="C451" s="128"/>
      <c r="D451" s="128"/>
      <c r="E451" s="128"/>
      <c r="F451" s="128"/>
      <c r="G451" s="128"/>
      <c r="H451" s="21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</row>
    <row r="452" spans="1:26" ht="14.4" x14ac:dyDescent="0.3">
      <c r="A452" s="128"/>
      <c r="B452" s="218"/>
      <c r="C452" s="128"/>
      <c r="D452" s="128"/>
      <c r="E452" s="128"/>
      <c r="F452" s="128"/>
      <c r="G452" s="128"/>
      <c r="H452" s="21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</row>
    <row r="453" spans="1:26" ht="14.4" x14ac:dyDescent="0.3">
      <c r="A453" s="128"/>
      <c r="B453" s="218"/>
      <c r="C453" s="128"/>
      <c r="D453" s="128"/>
      <c r="E453" s="128"/>
      <c r="F453" s="128"/>
      <c r="G453" s="128"/>
      <c r="H453" s="21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</row>
    <row r="454" spans="1:26" ht="14.4" x14ac:dyDescent="0.3">
      <c r="A454" s="128"/>
      <c r="B454" s="218"/>
      <c r="C454" s="128"/>
      <c r="D454" s="128"/>
      <c r="E454" s="128"/>
      <c r="F454" s="128"/>
      <c r="G454" s="128"/>
      <c r="H454" s="21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</row>
    <row r="455" spans="1:26" ht="14.4" x14ac:dyDescent="0.3">
      <c r="A455" s="128"/>
      <c r="B455" s="218"/>
      <c r="C455" s="128"/>
      <c r="D455" s="128"/>
      <c r="E455" s="128"/>
      <c r="F455" s="128"/>
      <c r="G455" s="128"/>
      <c r="H455" s="21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</row>
    <row r="456" spans="1:26" ht="14.4" x14ac:dyDescent="0.3">
      <c r="A456" s="128"/>
      <c r="B456" s="218"/>
      <c r="C456" s="128"/>
      <c r="D456" s="128"/>
      <c r="E456" s="128"/>
      <c r="F456" s="128"/>
      <c r="G456" s="128"/>
      <c r="H456" s="21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</row>
    <row r="457" spans="1:26" ht="14.4" x14ac:dyDescent="0.3">
      <c r="A457" s="128"/>
      <c r="B457" s="218"/>
      <c r="C457" s="128"/>
      <c r="D457" s="128"/>
      <c r="E457" s="128"/>
      <c r="F457" s="128"/>
      <c r="G457" s="128"/>
      <c r="H457" s="21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</row>
    <row r="458" spans="1:26" ht="14.4" x14ac:dyDescent="0.3">
      <c r="A458" s="128"/>
      <c r="B458" s="218"/>
      <c r="C458" s="128"/>
      <c r="D458" s="128"/>
      <c r="E458" s="128"/>
      <c r="F458" s="128"/>
      <c r="G458" s="128"/>
      <c r="H458" s="21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</row>
    <row r="459" spans="1:26" ht="14.4" x14ac:dyDescent="0.3">
      <c r="A459" s="128"/>
      <c r="B459" s="218"/>
      <c r="C459" s="128"/>
      <c r="D459" s="128"/>
      <c r="E459" s="128"/>
      <c r="F459" s="128"/>
      <c r="G459" s="128"/>
      <c r="H459" s="21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</row>
    <row r="460" spans="1:26" ht="14.4" x14ac:dyDescent="0.3">
      <c r="A460" s="128"/>
      <c r="B460" s="218"/>
      <c r="C460" s="128"/>
      <c r="D460" s="128"/>
      <c r="E460" s="128"/>
      <c r="F460" s="128"/>
      <c r="G460" s="128"/>
      <c r="H460" s="21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</row>
    <row r="461" spans="1:26" ht="14.4" x14ac:dyDescent="0.3">
      <c r="A461" s="128"/>
      <c r="B461" s="218"/>
      <c r="C461" s="128"/>
      <c r="D461" s="128"/>
      <c r="E461" s="128"/>
      <c r="F461" s="128"/>
      <c r="G461" s="128"/>
      <c r="H461" s="21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</row>
    <row r="462" spans="1:26" ht="14.4" x14ac:dyDescent="0.3">
      <c r="A462" s="128"/>
      <c r="B462" s="218"/>
      <c r="C462" s="128"/>
      <c r="D462" s="128"/>
      <c r="E462" s="128"/>
      <c r="F462" s="128"/>
      <c r="G462" s="128"/>
      <c r="H462" s="21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</row>
    <row r="463" spans="1:26" ht="14.4" x14ac:dyDescent="0.3">
      <c r="A463" s="128"/>
      <c r="B463" s="218"/>
      <c r="C463" s="128"/>
      <c r="D463" s="128"/>
      <c r="E463" s="128"/>
      <c r="F463" s="128"/>
      <c r="G463" s="128"/>
      <c r="H463" s="21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</row>
    <row r="464" spans="1:26" ht="14.4" x14ac:dyDescent="0.3">
      <c r="A464" s="128"/>
      <c r="B464" s="218"/>
      <c r="C464" s="128"/>
      <c r="D464" s="128"/>
      <c r="E464" s="128"/>
      <c r="F464" s="128"/>
      <c r="G464" s="128"/>
      <c r="H464" s="21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</row>
    <row r="465" spans="1:26" ht="14.4" x14ac:dyDescent="0.3">
      <c r="A465" s="128"/>
      <c r="B465" s="218"/>
      <c r="C465" s="128"/>
      <c r="D465" s="128"/>
      <c r="E465" s="128"/>
      <c r="F465" s="128"/>
      <c r="G465" s="128"/>
      <c r="H465" s="21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</row>
    <row r="466" spans="1:26" ht="14.4" x14ac:dyDescent="0.3">
      <c r="A466" s="128"/>
      <c r="B466" s="218"/>
      <c r="C466" s="128"/>
      <c r="D466" s="128"/>
      <c r="E466" s="128"/>
      <c r="F466" s="128"/>
      <c r="G466" s="128"/>
      <c r="H466" s="21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</row>
    <row r="467" spans="1:26" ht="14.4" x14ac:dyDescent="0.3">
      <c r="A467" s="128"/>
      <c r="B467" s="218"/>
      <c r="C467" s="128"/>
      <c r="D467" s="128"/>
      <c r="E467" s="128"/>
      <c r="F467" s="128"/>
      <c r="G467" s="128"/>
      <c r="H467" s="21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</row>
    <row r="468" spans="1:26" ht="14.4" x14ac:dyDescent="0.3">
      <c r="A468" s="128"/>
      <c r="B468" s="218"/>
      <c r="C468" s="128"/>
      <c r="D468" s="128"/>
      <c r="E468" s="128"/>
      <c r="F468" s="128"/>
      <c r="G468" s="128"/>
      <c r="H468" s="21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</row>
    <row r="469" spans="1:26" ht="14.4" x14ac:dyDescent="0.3">
      <c r="A469" s="128"/>
      <c r="B469" s="218"/>
      <c r="C469" s="128"/>
      <c r="D469" s="128"/>
      <c r="E469" s="128"/>
      <c r="F469" s="128"/>
      <c r="G469" s="128"/>
      <c r="H469" s="21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</row>
    <row r="470" spans="1:26" ht="14.4" x14ac:dyDescent="0.3">
      <c r="A470" s="128"/>
      <c r="B470" s="218"/>
      <c r="C470" s="128"/>
      <c r="D470" s="128"/>
      <c r="E470" s="128"/>
      <c r="F470" s="128"/>
      <c r="G470" s="128"/>
      <c r="H470" s="21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</row>
    <row r="471" spans="1:26" ht="14.4" x14ac:dyDescent="0.3">
      <c r="A471" s="128"/>
      <c r="B471" s="218"/>
      <c r="C471" s="128"/>
      <c r="D471" s="128"/>
      <c r="E471" s="128"/>
      <c r="F471" s="128"/>
      <c r="G471" s="128"/>
      <c r="H471" s="21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</row>
    <row r="472" spans="1:26" ht="14.4" x14ac:dyDescent="0.3">
      <c r="A472" s="128"/>
      <c r="B472" s="218"/>
      <c r="C472" s="128"/>
      <c r="D472" s="128"/>
      <c r="E472" s="128"/>
      <c r="F472" s="128"/>
      <c r="G472" s="128"/>
      <c r="H472" s="21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</row>
    <row r="473" spans="1:26" ht="14.4" x14ac:dyDescent="0.3">
      <c r="A473" s="128"/>
      <c r="B473" s="218"/>
      <c r="C473" s="128"/>
      <c r="D473" s="128"/>
      <c r="E473" s="128"/>
      <c r="F473" s="128"/>
      <c r="G473" s="128"/>
      <c r="H473" s="21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</row>
    <row r="474" spans="1:26" ht="14.4" x14ac:dyDescent="0.3">
      <c r="A474" s="128"/>
      <c r="B474" s="218"/>
      <c r="C474" s="128"/>
      <c r="D474" s="128"/>
      <c r="E474" s="128"/>
      <c r="F474" s="128"/>
      <c r="G474" s="128"/>
      <c r="H474" s="21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</row>
    <row r="475" spans="1:26" ht="14.4" x14ac:dyDescent="0.3">
      <c r="A475" s="128"/>
      <c r="B475" s="218"/>
      <c r="C475" s="128"/>
      <c r="D475" s="128"/>
      <c r="E475" s="128"/>
      <c r="F475" s="128"/>
      <c r="G475" s="128"/>
      <c r="H475" s="21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</row>
    <row r="476" spans="1:26" ht="14.4" x14ac:dyDescent="0.3">
      <c r="A476" s="128"/>
      <c r="B476" s="218"/>
      <c r="C476" s="128"/>
      <c r="D476" s="128"/>
      <c r="E476" s="128"/>
      <c r="F476" s="128"/>
      <c r="G476" s="128"/>
      <c r="H476" s="21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</row>
    <row r="477" spans="1:26" ht="14.4" x14ac:dyDescent="0.3">
      <c r="A477" s="128"/>
      <c r="B477" s="218"/>
      <c r="C477" s="128"/>
      <c r="D477" s="128"/>
      <c r="E477" s="128"/>
      <c r="F477" s="128"/>
      <c r="G477" s="128"/>
      <c r="H477" s="21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</row>
    <row r="478" spans="1:26" ht="14.4" x14ac:dyDescent="0.3">
      <c r="A478" s="128"/>
      <c r="B478" s="218"/>
      <c r="C478" s="128"/>
      <c r="D478" s="128"/>
      <c r="E478" s="128"/>
      <c r="F478" s="128"/>
      <c r="G478" s="128"/>
      <c r="H478" s="21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</row>
    <row r="479" spans="1:26" ht="14.4" x14ac:dyDescent="0.3">
      <c r="A479" s="128"/>
      <c r="B479" s="218"/>
      <c r="C479" s="128"/>
      <c r="D479" s="128"/>
      <c r="E479" s="128"/>
      <c r="F479" s="128"/>
      <c r="G479" s="128"/>
      <c r="H479" s="21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</row>
    <row r="480" spans="1:26" ht="14.4" x14ac:dyDescent="0.3">
      <c r="A480" s="128"/>
      <c r="B480" s="218"/>
      <c r="C480" s="128"/>
      <c r="D480" s="128"/>
      <c r="E480" s="128"/>
      <c r="F480" s="128"/>
      <c r="G480" s="128"/>
      <c r="H480" s="21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</row>
    <row r="481" spans="1:26" ht="14.4" x14ac:dyDescent="0.3">
      <c r="A481" s="128"/>
      <c r="B481" s="218"/>
      <c r="C481" s="128"/>
      <c r="D481" s="128"/>
      <c r="E481" s="128"/>
      <c r="F481" s="128"/>
      <c r="G481" s="128"/>
      <c r="H481" s="21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</row>
    <row r="482" spans="1:26" ht="14.4" x14ac:dyDescent="0.3">
      <c r="A482" s="128"/>
      <c r="B482" s="218"/>
      <c r="C482" s="128"/>
      <c r="D482" s="128"/>
      <c r="E482" s="128"/>
      <c r="F482" s="128"/>
      <c r="G482" s="128"/>
      <c r="H482" s="21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</row>
    <row r="483" spans="1:26" ht="14.4" x14ac:dyDescent="0.3">
      <c r="A483" s="128"/>
      <c r="B483" s="218"/>
      <c r="C483" s="128"/>
      <c r="D483" s="128"/>
      <c r="E483" s="128"/>
      <c r="F483" s="128"/>
      <c r="G483" s="128"/>
      <c r="H483" s="21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</row>
    <row r="484" spans="1:26" ht="14.4" x14ac:dyDescent="0.3">
      <c r="A484" s="128"/>
      <c r="B484" s="218"/>
      <c r="C484" s="128"/>
      <c r="D484" s="128"/>
      <c r="E484" s="128"/>
      <c r="F484" s="128"/>
      <c r="G484" s="128"/>
      <c r="H484" s="21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</row>
    <row r="485" spans="1:26" ht="14.4" x14ac:dyDescent="0.3">
      <c r="A485" s="128"/>
      <c r="B485" s="218"/>
      <c r="C485" s="128"/>
      <c r="D485" s="128"/>
      <c r="E485" s="128"/>
      <c r="F485" s="128"/>
      <c r="G485" s="128"/>
      <c r="H485" s="21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</row>
    <row r="486" spans="1:26" ht="14.4" x14ac:dyDescent="0.3">
      <c r="A486" s="128"/>
      <c r="B486" s="218"/>
      <c r="C486" s="128"/>
      <c r="D486" s="128"/>
      <c r="E486" s="128"/>
      <c r="F486" s="128"/>
      <c r="G486" s="128"/>
      <c r="H486" s="21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</row>
    <row r="487" spans="1:26" ht="14.4" x14ac:dyDescent="0.3">
      <c r="A487" s="128"/>
      <c r="B487" s="218"/>
      <c r="C487" s="128"/>
      <c r="D487" s="128"/>
      <c r="E487" s="128"/>
      <c r="F487" s="128"/>
      <c r="G487" s="128"/>
      <c r="H487" s="21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</row>
    <row r="488" spans="1:26" ht="14.4" x14ac:dyDescent="0.3">
      <c r="A488" s="128"/>
      <c r="B488" s="218"/>
      <c r="C488" s="128"/>
      <c r="D488" s="128"/>
      <c r="E488" s="128"/>
      <c r="F488" s="128"/>
      <c r="G488" s="128"/>
      <c r="H488" s="21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</row>
    <row r="489" spans="1:26" ht="14.4" x14ac:dyDescent="0.3">
      <c r="A489" s="128"/>
      <c r="B489" s="218"/>
      <c r="C489" s="128"/>
      <c r="D489" s="128"/>
      <c r="E489" s="128"/>
      <c r="F489" s="128"/>
      <c r="G489" s="128"/>
      <c r="H489" s="21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</row>
    <row r="490" spans="1:26" ht="14.4" x14ac:dyDescent="0.3">
      <c r="A490" s="128"/>
      <c r="B490" s="218"/>
      <c r="C490" s="128"/>
      <c r="D490" s="128"/>
      <c r="E490" s="128"/>
      <c r="F490" s="128"/>
      <c r="G490" s="128"/>
      <c r="H490" s="21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</row>
    <row r="491" spans="1:26" ht="14.4" x14ac:dyDescent="0.3">
      <c r="A491" s="128"/>
      <c r="B491" s="218"/>
      <c r="C491" s="128"/>
      <c r="D491" s="128"/>
      <c r="E491" s="128"/>
      <c r="F491" s="128"/>
      <c r="G491" s="128"/>
      <c r="H491" s="21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</row>
    <row r="492" spans="1:26" ht="14.4" x14ac:dyDescent="0.3">
      <c r="A492" s="128"/>
      <c r="B492" s="218"/>
      <c r="C492" s="128"/>
      <c r="D492" s="128"/>
      <c r="E492" s="128"/>
      <c r="F492" s="128"/>
      <c r="G492" s="128"/>
      <c r="H492" s="21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</row>
    <row r="493" spans="1:26" ht="14.4" x14ac:dyDescent="0.3">
      <c r="A493" s="128"/>
      <c r="B493" s="218"/>
      <c r="C493" s="128"/>
      <c r="D493" s="128"/>
      <c r="E493" s="128"/>
      <c r="F493" s="128"/>
      <c r="G493" s="128"/>
      <c r="H493" s="21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</row>
    <row r="494" spans="1:26" ht="14.4" x14ac:dyDescent="0.3">
      <c r="A494" s="128"/>
      <c r="B494" s="218"/>
      <c r="C494" s="128"/>
      <c r="D494" s="128"/>
      <c r="E494" s="128"/>
      <c r="F494" s="128"/>
      <c r="G494" s="128"/>
      <c r="H494" s="21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</row>
    <row r="495" spans="1:26" ht="14.4" x14ac:dyDescent="0.3">
      <c r="A495" s="128"/>
      <c r="B495" s="218"/>
      <c r="C495" s="128"/>
      <c r="D495" s="128"/>
      <c r="E495" s="128"/>
      <c r="F495" s="128"/>
      <c r="G495" s="128"/>
      <c r="H495" s="21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</row>
    <row r="496" spans="1:26" ht="14.4" x14ac:dyDescent="0.3">
      <c r="A496" s="128"/>
      <c r="B496" s="218"/>
      <c r="C496" s="128"/>
      <c r="D496" s="128"/>
      <c r="E496" s="128"/>
      <c r="F496" s="128"/>
      <c r="G496" s="128"/>
      <c r="H496" s="21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</row>
    <row r="497" spans="1:26" ht="14.4" x14ac:dyDescent="0.3">
      <c r="A497" s="128"/>
      <c r="B497" s="218"/>
      <c r="C497" s="128"/>
      <c r="D497" s="128"/>
      <c r="E497" s="128"/>
      <c r="F497" s="128"/>
      <c r="G497" s="128"/>
      <c r="H497" s="21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</row>
    <row r="498" spans="1:26" ht="14.4" x14ac:dyDescent="0.3">
      <c r="A498" s="128"/>
      <c r="B498" s="218"/>
      <c r="C498" s="128"/>
      <c r="D498" s="128"/>
      <c r="E498" s="128"/>
      <c r="F498" s="128"/>
      <c r="G498" s="128"/>
      <c r="H498" s="21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</row>
    <row r="499" spans="1:26" ht="14.4" x14ac:dyDescent="0.3">
      <c r="A499" s="128"/>
      <c r="B499" s="218"/>
      <c r="C499" s="128"/>
      <c r="D499" s="128"/>
      <c r="E499" s="128"/>
      <c r="F499" s="128"/>
      <c r="G499" s="128"/>
      <c r="H499" s="21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</row>
    <row r="500" spans="1:26" ht="14.4" x14ac:dyDescent="0.3">
      <c r="A500" s="128"/>
      <c r="B500" s="218"/>
      <c r="C500" s="128"/>
      <c r="D500" s="128"/>
      <c r="E500" s="128"/>
      <c r="F500" s="128"/>
      <c r="G500" s="128"/>
      <c r="H500" s="21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</row>
    <row r="501" spans="1:26" ht="14.4" x14ac:dyDescent="0.3">
      <c r="A501" s="128"/>
      <c r="B501" s="218"/>
      <c r="C501" s="128"/>
      <c r="D501" s="128"/>
      <c r="E501" s="128"/>
      <c r="F501" s="128"/>
      <c r="G501" s="128"/>
      <c r="H501" s="21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</row>
    <row r="502" spans="1:26" ht="14.4" x14ac:dyDescent="0.3">
      <c r="A502" s="128"/>
      <c r="B502" s="218"/>
      <c r="C502" s="128"/>
      <c r="D502" s="128"/>
      <c r="E502" s="128"/>
      <c r="F502" s="128"/>
      <c r="G502" s="128"/>
      <c r="H502" s="21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</row>
    <row r="503" spans="1:26" ht="14.4" x14ac:dyDescent="0.3">
      <c r="A503" s="128"/>
      <c r="B503" s="218"/>
      <c r="C503" s="128"/>
      <c r="D503" s="128"/>
      <c r="E503" s="128"/>
      <c r="F503" s="128"/>
      <c r="G503" s="128"/>
      <c r="H503" s="21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</row>
    <row r="504" spans="1:26" ht="14.4" x14ac:dyDescent="0.3">
      <c r="A504" s="128"/>
      <c r="B504" s="218"/>
      <c r="C504" s="128"/>
      <c r="D504" s="128"/>
      <c r="E504" s="128"/>
      <c r="F504" s="128"/>
      <c r="G504" s="128"/>
      <c r="H504" s="21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</row>
    <row r="505" spans="1:26" ht="14.4" x14ac:dyDescent="0.3">
      <c r="A505" s="128"/>
      <c r="B505" s="218"/>
      <c r="C505" s="128"/>
      <c r="D505" s="128"/>
      <c r="E505" s="128"/>
      <c r="F505" s="128"/>
      <c r="G505" s="128"/>
      <c r="H505" s="21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</row>
    <row r="506" spans="1:26" ht="14.4" x14ac:dyDescent="0.3">
      <c r="A506" s="128"/>
      <c r="B506" s="218"/>
      <c r="C506" s="128"/>
      <c r="D506" s="128"/>
      <c r="E506" s="128"/>
      <c r="F506" s="128"/>
      <c r="G506" s="128"/>
      <c r="H506" s="21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</row>
    <row r="507" spans="1:26" ht="14.4" x14ac:dyDescent="0.3">
      <c r="A507" s="128"/>
      <c r="B507" s="218"/>
      <c r="C507" s="128"/>
      <c r="D507" s="128"/>
      <c r="E507" s="128"/>
      <c r="F507" s="128"/>
      <c r="G507" s="128"/>
      <c r="H507" s="21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</row>
    <row r="508" spans="1:26" ht="14.4" x14ac:dyDescent="0.3">
      <c r="A508" s="128"/>
      <c r="B508" s="218"/>
      <c r="C508" s="128"/>
      <c r="D508" s="128"/>
      <c r="E508" s="128"/>
      <c r="F508" s="128"/>
      <c r="G508" s="128"/>
      <c r="H508" s="21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</row>
    <row r="509" spans="1:26" ht="14.4" x14ac:dyDescent="0.3">
      <c r="A509" s="128"/>
      <c r="B509" s="218"/>
      <c r="C509" s="128"/>
      <c r="D509" s="128"/>
      <c r="E509" s="128"/>
      <c r="F509" s="128"/>
      <c r="G509" s="128"/>
      <c r="H509" s="21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</row>
    <row r="510" spans="1:26" ht="14.4" x14ac:dyDescent="0.3">
      <c r="A510" s="128"/>
      <c r="B510" s="218"/>
      <c r="C510" s="128"/>
      <c r="D510" s="128"/>
      <c r="E510" s="128"/>
      <c r="F510" s="128"/>
      <c r="G510" s="128"/>
      <c r="H510" s="21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</row>
    <row r="511" spans="1:26" ht="14.4" x14ac:dyDescent="0.3">
      <c r="A511" s="128"/>
      <c r="B511" s="218"/>
      <c r="C511" s="128"/>
      <c r="D511" s="128"/>
      <c r="E511" s="128"/>
      <c r="F511" s="128"/>
      <c r="G511" s="128"/>
      <c r="H511" s="21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</row>
    <row r="512" spans="1:26" ht="14.4" x14ac:dyDescent="0.3">
      <c r="A512" s="128"/>
      <c r="B512" s="218"/>
      <c r="C512" s="128"/>
      <c r="D512" s="128"/>
      <c r="E512" s="128"/>
      <c r="F512" s="128"/>
      <c r="G512" s="128"/>
      <c r="H512" s="21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</row>
    <row r="513" spans="1:26" ht="14.4" x14ac:dyDescent="0.3">
      <c r="A513" s="128"/>
      <c r="B513" s="218"/>
      <c r="C513" s="128"/>
      <c r="D513" s="128"/>
      <c r="E513" s="128"/>
      <c r="F513" s="128"/>
      <c r="G513" s="128"/>
      <c r="H513" s="21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</row>
    <row r="514" spans="1:26" ht="14.4" x14ac:dyDescent="0.3">
      <c r="A514" s="128"/>
      <c r="B514" s="218"/>
      <c r="C514" s="128"/>
      <c r="D514" s="128"/>
      <c r="E514" s="128"/>
      <c r="F514" s="128"/>
      <c r="G514" s="128"/>
      <c r="H514" s="21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</row>
    <row r="515" spans="1:26" ht="14.4" x14ac:dyDescent="0.3">
      <c r="A515" s="128"/>
      <c r="B515" s="218"/>
      <c r="C515" s="128"/>
      <c r="D515" s="128"/>
      <c r="E515" s="128"/>
      <c r="F515" s="128"/>
      <c r="G515" s="128"/>
      <c r="H515" s="21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</row>
    <row r="516" spans="1:26" ht="14.4" x14ac:dyDescent="0.3">
      <c r="A516" s="128"/>
      <c r="B516" s="218"/>
      <c r="C516" s="128"/>
      <c r="D516" s="128"/>
      <c r="E516" s="128"/>
      <c r="F516" s="128"/>
      <c r="G516" s="128"/>
      <c r="H516" s="21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</row>
    <row r="517" spans="1:26" ht="14.4" x14ac:dyDescent="0.3">
      <c r="A517" s="128"/>
      <c r="B517" s="218"/>
      <c r="C517" s="128"/>
      <c r="D517" s="128"/>
      <c r="E517" s="128"/>
      <c r="F517" s="128"/>
      <c r="G517" s="128"/>
      <c r="H517" s="21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</row>
    <row r="518" spans="1:26" ht="14.4" x14ac:dyDescent="0.3">
      <c r="A518" s="128"/>
      <c r="B518" s="218"/>
      <c r="C518" s="128"/>
      <c r="D518" s="128"/>
      <c r="E518" s="128"/>
      <c r="F518" s="128"/>
      <c r="G518" s="128"/>
      <c r="H518" s="21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</row>
    <row r="519" spans="1:26" ht="14.4" x14ac:dyDescent="0.3">
      <c r="A519" s="128"/>
      <c r="B519" s="218"/>
      <c r="C519" s="128"/>
      <c r="D519" s="128"/>
      <c r="E519" s="128"/>
      <c r="F519" s="128"/>
      <c r="G519" s="128"/>
      <c r="H519" s="21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</row>
    <row r="520" spans="1:26" ht="14.4" x14ac:dyDescent="0.3">
      <c r="A520" s="128"/>
      <c r="B520" s="218"/>
      <c r="C520" s="128"/>
      <c r="D520" s="128"/>
      <c r="E520" s="128"/>
      <c r="F520" s="128"/>
      <c r="G520" s="128"/>
      <c r="H520" s="21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</row>
    <row r="521" spans="1:26" ht="14.4" x14ac:dyDescent="0.3">
      <c r="A521" s="128"/>
      <c r="B521" s="218"/>
      <c r="C521" s="128"/>
      <c r="D521" s="128"/>
      <c r="E521" s="128"/>
      <c r="F521" s="128"/>
      <c r="G521" s="128"/>
      <c r="H521" s="21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</row>
    <row r="522" spans="1:26" ht="14.4" x14ac:dyDescent="0.3">
      <c r="A522" s="128"/>
      <c r="B522" s="218"/>
      <c r="C522" s="128"/>
      <c r="D522" s="128"/>
      <c r="E522" s="128"/>
      <c r="F522" s="128"/>
      <c r="G522" s="128"/>
      <c r="H522" s="21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</row>
    <row r="523" spans="1:26" ht="14.4" x14ac:dyDescent="0.3">
      <c r="A523" s="128"/>
      <c r="B523" s="218"/>
      <c r="C523" s="128"/>
      <c r="D523" s="128"/>
      <c r="E523" s="128"/>
      <c r="F523" s="128"/>
      <c r="G523" s="128"/>
      <c r="H523" s="21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</row>
    <row r="524" spans="1:26" ht="14.4" x14ac:dyDescent="0.3">
      <c r="A524" s="128"/>
      <c r="B524" s="218"/>
      <c r="C524" s="128"/>
      <c r="D524" s="128"/>
      <c r="E524" s="128"/>
      <c r="F524" s="128"/>
      <c r="G524" s="128"/>
      <c r="H524" s="21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</row>
    <row r="525" spans="1:26" ht="14.4" x14ac:dyDescent="0.3">
      <c r="A525" s="128"/>
      <c r="B525" s="218"/>
      <c r="C525" s="128"/>
      <c r="D525" s="128"/>
      <c r="E525" s="128"/>
      <c r="F525" s="128"/>
      <c r="G525" s="128"/>
      <c r="H525" s="21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</row>
    <row r="526" spans="1:26" ht="14.4" x14ac:dyDescent="0.3">
      <c r="A526" s="128"/>
      <c r="B526" s="218"/>
      <c r="C526" s="128"/>
      <c r="D526" s="128"/>
      <c r="E526" s="128"/>
      <c r="F526" s="128"/>
      <c r="G526" s="128"/>
      <c r="H526" s="21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</row>
    <row r="527" spans="1:26" ht="14.4" x14ac:dyDescent="0.3">
      <c r="A527" s="128"/>
      <c r="B527" s="218"/>
      <c r="C527" s="128"/>
      <c r="D527" s="128"/>
      <c r="E527" s="128"/>
      <c r="F527" s="128"/>
      <c r="G527" s="128"/>
      <c r="H527" s="21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</row>
    <row r="528" spans="1:26" ht="14.4" x14ac:dyDescent="0.3">
      <c r="A528" s="128"/>
      <c r="B528" s="218"/>
      <c r="C528" s="128"/>
      <c r="D528" s="128"/>
      <c r="E528" s="128"/>
      <c r="F528" s="128"/>
      <c r="G528" s="128"/>
      <c r="H528" s="21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</row>
    <row r="529" spans="1:26" ht="14.4" x14ac:dyDescent="0.3">
      <c r="A529" s="128"/>
      <c r="B529" s="218"/>
      <c r="C529" s="128"/>
      <c r="D529" s="128"/>
      <c r="E529" s="128"/>
      <c r="F529" s="128"/>
      <c r="G529" s="128"/>
      <c r="H529" s="21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</row>
    <row r="530" spans="1:26" ht="14.4" x14ac:dyDescent="0.3">
      <c r="A530" s="128"/>
      <c r="B530" s="218"/>
      <c r="C530" s="128"/>
      <c r="D530" s="128"/>
      <c r="E530" s="128"/>
      <c r="F530" s="128"/>
      <c r="G530" s="128"/>
      <c r="H530" s="21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</row>
    <row r="531" spans="1:26" ht="14.4" x14ac:dyDescent="0.3">
      <c r="A531" s="128"/>
      <c r="B531" s="218"/>
      <c r="C531" s="128"/>
      <c r="D531" s="128"/>
      <c r="E531" s="128"/>
      <c r="F531" s="128"/>
      <c r="G531" s="128"/>
      <c r="H531" s="21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</row>
    <row r="532" spans="1:26" ht="14.4" x14ac:dyDescent="0.3">
      <c r="A532" s="128"/>
      <c r="B532" s="218"/>
      <c r="C532" s="128"/>
      <c r="D532" s="128"/>
      <c r="E532" s="128"/>
      <c r="F532" s="128"/>
      <c r="G532" s="128"/>
      <c r="H532" s="21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</row>
    <row r="533" spans="1:26" ht="14.4" x14ac:dyDescent="0.3">
      <c r="A533" s="128"/>
      <c r="B533" s="218"/>
      <c r="C533" s="128"/>
      <c r="D533" s="128"/>
      <c r="E533" s="128"/>
      <c r="F533" s="128"/>
      <c r="G533" s="128"/>
      <c r="H533" s="21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</row>
    <row r="534" spans="1:26" ht="14.4" x14ac:dyDescent="0.3">
      <c r="A534" s="128"/>
      <c r="B534" s="218"/>
      <c r="C534" s="128"/>
      <c r="D534" s="128"/>
      <c r="E534" s="128"/>
      <c r="F534" s="128"/>
      <c r="G534" s="128"/>
      <c r="H534" s="21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</row>
    <row r="535" spans="1:26" ht="14.4" x14ac:dyDescent="0.3">
      <c r="A535" s="128"/>
      <c r="B535" s="218"/>
      <c r="C535" s="128"/>
      <c r="D535" s="128"/>
      <c r="E535" s="128"/>
      <c r="F535" s="128"/>
      <c r="G535" s="128"/>
      <c r="H535" s="21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</row>
    <row r="536" spans="1:26" ht="14.4" x14ac:dyDescent="0.3">
      <c r="A536" s="128"/>
      <c r="B536" s="218"/>
      <c r="C536" s="128"/>
      <c r="D536" s="128"/>
      <c r="E536" s="128"/>
      <c r="F536" s="128"/>
      <c r="G536" s="128"/>
      <c r="H536" s="21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</row>
    <row r="537" spans="1:26" ht="14.4" x14ac:dyDescent="0.3">
      <c r="A537" s="128"/>
      <c r="B537" s="218"/>
      <c r="C537" s="128"/>
      <c r="D537" s="128"/>
      <c r="E537" s="128"/>
      <c r="F537" s="128"/>
      <c r="G537" s="128"/>
      <c r="H537" s="21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</row>
    <row r="538" spans="1:26" ht="14.4" x14ac:dyDescent="0.3">
      <c r="A538" s="128"/>
      <c r="B538" s="218"/>
      <c r="C538" s="128"/>
      <c r="D538" s="128"/>
      <c r="E538" s="128"/>
      <c r="F538" s="128"/>
      <c r="G538" s="128"/>
      <c r="H538" s="21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</row>
    <row r="539" spans="1:26" ht="14.4" x14ac:dyDescent="0.3">
      <c r="A539" s="128"/>
      <c r="B539" s="218"/>
      <c r="C539" s="128"/>
      <c r="D539" s="128"/>
      <c r="E539" s="128"/>
      <c r="F539" s="128"/>
      <c r="G539" s="128"/>
      <c r="H539" s="21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</row>
    <row r="540" spans="1:26" ht="14.4" x14ac:dyDescent="0.3">
      <c r="A540" s="128"/>
      <c r="B540" s="218"/>
      <c r="C540" s="128"/>
      <c r="D540" s="128"/>
      <c r="E540" s="128"/>
      <c r="F540" s="128"/>
      <c r="G540" s="128"/>
      <c r="H540" s="21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</row>
    <row r="541" spans="1:26" ht="14.4" x14ac:dyDescent="0.3">
      <c r="A541" s="128"/>
      <c r="B541" s="218"/>
      <c r="C541" s="128"/>
      <c r="D541" s="128"/>
      <c r="E541" s="128"/>
      <c r="F541" s="128"/>
      <c r="G541" s="128"/>
      <c r="H541" s="21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</row>
    <row r="542" spans="1:26" ht="14.4" x14ac:dyDescent="0.3">
      <c r="A542" s="128"/>
      <c r="B542" s="218"/>
      <c r="C542" s="128"/>
      <c r="D542" s="128"/>
      <c r="E542" s="128"/>
      <c r="F542" s="128"/>
      <c r="G542" s="128"/>
      <c r="H542" s="21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</row>
    <row r="543" spans="1:26" ht="14.4" x14ac:dyDescent="0.3">
      <c r="A543" s="128"/>
      <c r="B543" s="218"/>
      <c r="C543" s="128"/>
      <c r="D543" s="128"/>
      <c r="E543" s="128"/>
      <c r="F543" s="128"/>
      <c r="G543" s="128"/>
      <c r="H543" s="21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</row>
    <row r="544" spans="1:26" ht="14.4" x14ac:dyDescent="0.3">
      <c r="A544" s="128"/>
      <c r="B544" s="218"/>
      <c r="C544" s="128"/>
      <c r="D544" s="128"/>
      <c r="E544" s="128"/>
      <c r="F544" s="128"/>
      <c r="G544" s="128"/>
      <c r="H544" s="21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</row>
    <row r="545" spans="1:26" ht="14.4" x14ac:dyDescent="0.3">
      <c r="A545" s="128"/>
      <c r="B545" s="218"/>
      <c r="C545" s="128"/>
      <c r="D545" s="128"/>
      <c r="E545" s="128"/>
      <c r="F545" s="128"/>
      <c r="G545" s="128"/>
      <c r="H545" s="21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</row>
    <row r="546" spans="1:26" ht="14.4" x14ac:dyDescent="0.3">
      <c r="A546" s="128"/>
      <c r="B546" s="218"/>
      <c r="C546" s="128"/>
      <c r="D546" s="128"/>
      <c r="E546" s="128"/>
      <c r="F546" s="128"/>
      <c r="G546" s="128"/>
      <c r="H546" s="21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</row>
    <row r="547" spans="1:26" ht="14.4" x14ac:dyDescent="0.3">
      <c r="A547" s="128"/>
      <c r="B547" s="218"/>
      <c r="C547" s="128"/>
      <c r="D547" s="128"/>
      <c r="E547" s="128"/>
      <c r="F547" s="128"/>
      <c r="G547" s="128"/>
      <c r="H547" s="21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</row>
    <row r="548" spans="1:26" ht="14.4" x14ac:dyDescent="0.3">
      <c r="A548" s="128"/>
      <c r="B548" s="218"/>
      <c r="C548" s="128"/>
      <c r="D548" s="128"/>
      <c r="E548" s="128"/>
      <c r="F548" s="128"/>
      <c r="G548" s="128"/>
      <c r="H548" s="21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</row>
    <row r="549" spans="1:26" ht="14.4" x14ac:dyDescent="0.3">
      <c r="A549" s="128"/>
      <c r="B549" s="218"/>
      <c r="C549" s="128"/>
      <c r="D549" s="128"/>
      <c r="E549" s="128"/>
      <c r="F549" s="128"/>
      <c r="G549" s="128"/>
      <c r="H549" s="21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</row>
    <row r="550" spans="1:26" ht="14.4" x14ac:dyDescent="0.3">
      <c r="A550" s="128"/>
      <c r="B550" s="218"/>
      <c r="C550" s="128"/>
      <c r="D550" s="128"/>
      <c r="E550" s="128"/>
      <c r="F550" s="128"/>
      <c r="G550" s="128"/>
      <c r="H550" s="21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</row>
    <row r="551" spans="1:26" ht="14.4" x14ac:dyDescent="0.3">
      <c r="A551" s="128"/>
      <c r="B551" s="218"/>
      <c r="C551" s="128"/>
      <c r="D551" s="128"/>
      <c r="E551" s="128"/>
      <c r="F551" s="128"/>
      <c r="G551" s="128"/>
      <c r="H551" s="21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</row>
    <row r="552" spans="1:26" ht="14.4" x14ac:dyDescent="0.3">
      <c r="A552" s="128"/>
      <c r="B552" s="218"/>
      <c r="C552" s="128"/>
      <c r="D552" s="128"/>
      <c r="E552" s="128"/>
      <c r="F552" s="128"/>
      <c r="G552" s="128"/>
      <c r="H552" s="21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</row>
    <row r="553" spans="1:26" ht="14.4" x14ac:dyDescent="0.3">
      <c r="A553" s="128"/>
      <c r="B553" s="218"/>
      <c r="C553" s="128"/>
      <c r="D553" s="128"/>
      <c r="E553" s="128"/>
      <c r="F553" s="128"/>
      <c r="G553" s="128"/>
      <c r="H553" s="21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</row>
    <row r="554" spans="1:26" ht="14.4" x14ac:dyDescent="0.3">
      <c r="A554" s="128"/>
      <c r="B554" s="218"/>
      <c r="C554" s="128"/>
      <c r="D554" s="128"/>
      <c r="E554" s="128"/>
      <c r="F554" s="128"/>
      <c r="G554" s="128"/>
      <c r="H554" s="21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</row>
    <row r="555" spans="1:26" ht="14.4" x14ac:dyDescent="0.3">
      <c r="A555" s="128"/>
      <c r="B555" s="218"/>
      <c r="C555" s="128"/>
      <c r="D555" s="128"/>
      <c r="E555" s="128"/>
      <c r="F555" s="128"/>
      <c r="G555" s="128"/>
      <c r="H555" s="21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</row>
    <row r="556" spans="1:26" ht="14.4" x14ac:dyDescent="0.3">
      <c r="A556" s="128"/>
      <c r="B556" s="218"/>
      <c r="C556" s="128"/>
      <c r="D556" s="128"/>
      <c r="E556" s="128"/>
      <c r="F556" s="128"/>
      <c r="G556" s="128"/>
      <c r="H556" s="21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</row>
    <row r="557" spans="1:26" ht="14.4" x14ac:dyDescent="0.3">
      <c r="A557" s="128"/>
      <c r="B557" s="218"/>
      <c r="C557" s="128"/>
      <c r="D557" s="128"/>
      <c r="E557" s="128"/>
      <c r="F557" s="128"/>
      <c r="G557" s="128"/>
      <c r="H557" s="21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</row>
    <row r="558" spans="1:26" ht="14.4" x14ac:dyDescent="0.3">
      <c r="A558" s="128"/>
      <c r="B558" s="218"/>
      <c r="C558" s="128"/>
      <c r="D558" s="128"/>
      <c r="E558" s="128"/>
      <c r="F558" s="128"/>
      <c r="G558" s="128"/>
      <c r="H558" s="21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</row>
    <row r="559" spans="1:26" ht="14.4" x14ac:dyDescent="0.3">
      <c r="A559" s="128"/>
      <c r="B559" s="218"/>
      <c r="C559" s="128"/>
      <c r="D559" s="128"/>
      <c r="E559" s="128"/>
      <c r="F559" s="128"/>
      <c r="G559" s="128"/>
      <c r="H559" s="21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</row>
    <row r="560" spans="1:26" ht="14.4" x14ac:dyDescent="0.3">
      <c r="A560" s="128"/>
      <c r="B560" s="218"/>
      <c r="C560" s="128"/>
      <c r="D560" s="128"/>
      <c r="E560" s="128"/>
      <c r="F560" s="128"/>
      <c r="G560" s="128"/>
      <c r="H560" s="21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</row>
    <row r="561" spans="1:26" ht="14.4" x14ac:dyDescent="0.3">
      <c r="A561" s="128"/>
      <c r="B561" s="218"/>
      <c r="C561" s="128"/>
      <c r="D561" s="128"/>
      <c r="E561" s="128"/>
      <c r="F561" s="128"/>
      <c r="G561" s="128"/>
      <c r="H561" s="21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</row>
    <row r="562" spans="1:26" ht="14.4" x14ac:dyDescent="0.3">
      <c r="A562" s="128"/>
      <c r="B562" s="218"/>
      <c r="C562" s="128"/>
      <c r="D562" s="128"/>
      <c r="E562" s="128"/>
      <c r="F562" s="128"/>
      <c r="G562" s="128"/>
      <c r="H562" s="21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</row>
    <row r="563" spans="1:26" ht="14.4" x14ac:dyDescent="0.3">
      <c r="A563" s="128"/>
      <c r="B563" s="218"/>
      <c r="C563" s="128"/>
      <c r="D563" s="128"/>
      <c r="E563" s="128"/>
      <c r="F563" s="128"/>
      <c r="G563" s="128"/>
      <c r="H563" s="21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</row>
    <row r="564" spans="1:26" ht="14.4" x14ac:dyDescent="0.3">
      <c r="A564" s="128"/>
      <c r="B564" s="218"/>
      <c r="C564" s="128"/>
      <c r="D564" s="128"/>
      <c r="E564" s="128"/>
      <c r="F564" s="128"/>
      <c r="G564" s="128"/>
      <c r="H564" s="21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</row>
    <row r="565" spans="1:26" ht="14.4" x14ac:dyDescent="0.3">
      <c r="A565" s="128"/>
      <c r="B565" s="218"/>
      <c r="C565" s="128"/>
      <c r="D565" s="128"/>
      <c r="E565" s="128"/>
      <c r="F565" s="128"/>
      <c r="G565" s="128"/>
      <c r="H565" s="21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</row>
    <row r="566" spans="1:26" ht="14.4" x14ac:dyDescent="0.3">
      <c r="A566" s="128"/>
      <c r="B566" s="218"/>
      <c r="C566" s="128"/>
      <c r="D566" s="128"/>
      <c r="E566" s="128"/>
      <c r="F566" s="128"/>
      <c r="G566" s="128"/>
      <c r="H566" s="21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</row>
    <row r="567" spans="1:26" ht="14.4" x14ac:dyDescent="0.3">
      <c r="A567" s="128"/>
      <c r="B567" s="218"/>
      <c r="C567" s="128"/>
      <c r="D567" s="128"/>
      <c r="E567" s="128"/>
      <c r="F567" s="128"/>
      <c r="G567" s="128"/>
      <c r="H567" s="21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</row>
    <row r="568" spans="1:26" ht="14.4" x14ac:dyDescent="0.3">
      <c r="A568" s="128"/>
      <c r="B568" s="218"/>
      <c r="C568" s="128"/>
      <c r="D568" s="128"/>
      <c r="E568" s="128"/>
      <c r="F568" s="128"/>
      <c r="G568" s="128"/>
      <c r="H568" s="21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</row>
    <row r="569" spans="1:26" ht="14.4" x14ac:dyDescent="0.3">
      <c r="A569" s="128"/>
      <c r="B569" s="218"/>
      <c r="C569" s="128"/>
      <c r="D569" s="128"/>
      <c r="E569" s="128"/>
      <c r="F569" s="128"/>
      <c r="G569" s="128"/>
      <c r="H569" s="21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</row>
    <row r="570" spans="1:26" ht="14.4" x14ac:dyDescent="0.3">
      <c r="A570" s="128"/>
      <c r="B570" s="218"/>
      <c r="C570" s="128"/>
      <c r="D570" s="128"/>
      <c r="E570" s="128"/>
      <c r="F570" s="128"/>
      <c r="G570" s="128"/>
      <c r="H570" s="21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</row>
    <row r="571" spans="1:26" ht="14.4" x14ac:dyDescent="0.3">
      <c r="A571" s="128"/>
      <c r="B571" s="218"/>
      <c r="C571" s="128"/>
      <c r="D571" s="128"/>
      <c r="E571" s="128"/>
      <c r="F571" s="128"/>
      <c r="G571" s="128"/>
      <c r="H571" s="21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</row>
    <row r="572" spans="1:26" ht="14.4" x14ac:dyDescent="0.3">
      <c r="A572" s="128"/>
      <c r="B572" s="218"/>
      <c r="C572" s="128"/>
      <c r="D572" s="128"/>
      <c r="E572" s="128"/>
      <c r="F572" s="128"/>
      <c r="G572" s="128"/>
      <c r="H572" s="21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</row>
    <row r="573" spans="1:26" ht="14.4" x14ac:dyDescent="0.3">
      <c r="A573" s="128"/>
      <c r="B573" s="218"/>
      <c r="C573" s="128"/>
      <c r="D573" s="128"/>
      <c r="E573" s="128"/>
      <c r="F573" s="128"/>
      <c r="G573" s="128"/>
      <c r="H573" s="21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</row>
    <row r="574" spans="1:26" ht="14.4" x14ac:dyDescent="0.3">
      <c r="A574" s="128"/>
      <c r="B574" s="218"/>
      <c r="C574" s="128"/>
      <c r="D574" s="128"/>
      <c r="E574" s="128"/>
      <c r="F574" s="128"/>
      <c r="G574" s="128"/>
      <c r="H574" s="21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</row>
    <row r="575" spans="1:26" ht="14.4" x14ac:dyDescent="0.3">
      <c r="A575" s="128"/>
      <c r="B575" s="218"/>
      <c r="C575" s="128"/>
      <c r="D575" s="128"/>
      <c r="E575" s="128"/>
      <c r="F575" s="128"/>
      <c r="G575" s="128"/>
      <c r="H575" s="21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</row>
    <row r="576" spans="1:26" ht="14.4" x14ac:dyDescent="0.3">
      <c r="A576" s="128"/>
      <c r="B576" s="218"/>
      <c r="C576" s="128"/>
      <c r="D576" s="128"/>
      <c r="E576" s="128"/>
      <c r="F576" s="128"/>
      <c r="G576" s="128"/>
      <c r="H576" s="21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</row>
    <row r="577" spans="1:26" ht="14.4" x14ac:dyDescent="0.3">
      <c r="A577" s="128"/>
      <c r="B577" s="218"/>
      <c r="C577" s="128"/>
      <c r="D577" s="128"/>
      <c r="E577" s="128"/>
      <c r="F577" s="128"/>
      <c r="G577" s="128"/>
      <c r="H577" s="21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</row>
    <row r="578" spans="1:26" ht="14.4" x14ac:dyDescent="0.3">
      <c r="A578" s="128"/>
      <c r="B578" s="218"/>
      <c r="C578" s="128"/>
      <c r="D578" s="128"/>
      <c r="E578" s="128"/>
      <c r="F578" s="128"/>
      <c r="G578" s="128"/>
      <c r="H578" s="21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</row>
    <row r="579" spans="1:26" ht="14.4" x14ac:dyDescent="0.3">
      <c r="A579" s="128"/>
      <c r="B579" s="218"/>
      <c r="C579" s="128"/>
      <c r="D579" s="128"/>
      <c r="E579" s="128"/>
      <c r="F579" s="128"/>
      <c r="G579" s="128"/>
      <c r="H579" s="21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</row>
    <row r="580" spans="1:26" ht="14.4" x14ac:dyDescent="0.3">
      <c r="A580" s="128"/>
      <c r="B580" s="218"/>
      <c r="C580" s="128"/>
      <c r="D580" s="128"/>
      <c r="E580" s="128"/>
      <c r="F580" s="128"/>
      <c r="G580" s="128"/>
      <c r="H580" s="21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</row>
    <row r="581" spans="1:26" ht="14.4" x14ac:dyDescent="0.3">
      <c r="A581" s="128"/>
      <c r="B581" s="218"/>
      <c r="C581" s="128"/>
      <c r="D581" s="128"/>
      <c r="E581" s="128"/>
      <c r="F581" s="128"/>
      <c r="G581" s="128"/>
      <c r="H581" s="21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</row>
    <row r="582" spans="1:26" ht="14.4" x14ac:dyDescent="0.3">
      <c r="A582" s="128"/>
      <c r="B582" s="218"/>
      <c r="C582" s="128"/>
      <c r="D582" s="128"/>
      <c r="E582" s="128"/>
      <c r="F582" s="128"/>
      <c r="G582" s="128"/>
      <c r="H582" s="21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</row>
    <row r="583" spans="1:26" ht="14.4" x14ac:dyDescent="0.3">
      <c r="A583" s="128"/>
      <c r="B583" s="218"/>
      <c r="C583" s="128"/>
      <c r="D583" s="128"/>
      <c r="E583" s="128"/>
      <c r="F583" s="128"/>
      <c r="G583" s="128"/>
      <c r="H583" s="21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</row>
    <row r="584" spans="1:26" ht="14.4" x14ac:dyDescent="0.3">
      <c r="A584" s="128"/>
      <c r="B584" s="218"/>
      <c r="C584" s="128"/>
      <c r="D584" s="128"/>
      <c r="E584" s="128"/>
      <c r="F584" s="128"/>
      <c r="G584" s="128"/>
      <c r="H584" s="21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</row>
    <row r="585" spans="1:26" ht="14.4" x14ac:dyDescent="0.3">
      <c r="A585" s="128"/>
      <c r="B585" s="218"/>
      <c r="C585" s="128"/>
      <c r="D585" s="128"/>
      <c r="E585" s="128"/>
      <c r="F585" s="128"/>
      <c r="G585" s="128"/>
      <c r="H585" s="21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</row>
    <row r="586" spans="1:26" ht="14.4" x14ac:dyDescent="0.3">
      <c r="A586" s="128"/>
      <c r="B586" s="218"/>
      <c r="C586" s="128"/>
      <c r="D586" s="128"/>
      <c r="E586" s="128"/>
      <c r="F586" s="128"/>
      <c r="G586" s="128"/>
      <c r="H586" s="21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</row>
    <row r="587" spans="1:26" ht="14.4" x14ac:dyDescent="0.3">
      <c r="A587" s="128"/>
      <c r="B587" s="218"/>
      <c r="C587" s="128"/>
      <c r="D587" s="128"/>
      <c r="E587" s="128"/>
      <c r="F587" s="128"/>
      <c r="G587" s="128"/>
      <c r="H587" s="21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</row>
    <row r="588" spans="1:26" ht="14.4" x14ac:dyDescent="0.3">
      <c r="A588" s="128"/>
      <c r="B588" s="218"/>
      <c r="C588" s="128"/>
      <c r="D588" s="128"/>
      <c r="E588" s="128"/>
      <c r="F588" s="128"/>
      <c r="G588" s="128"/>
      <c r="H588" s="21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</row>
    <row r="589" spans="1:26" ht="14.4" x14ac:dyDescent="0.3">
      <c r="A589" s="128"/>
      <c r="B589" s="218"/>
      <c r="C589" s="128"/>
      <c r="D589" s="128"/>
      <c r="E589" s="128"/>
      <c r="F589" s="128"/>
      <c r="G589" s="128"/>
      <c r="H589" s="21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</row>
    <row r="590" spans="1:26" ht="14.4" x14ac:dyDescent="0.3">
      <c r="A590" s="128"/>
      <c r="B590" s="218"/>
      <c r="C590" s="128"/>
      <c r="D590" s="128"/>
      <c r="E590" s="128"/>
      <c r="F590" s="128"/>
      <c r="G590" s="128"/>
      <c r="H590" s="21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</row>
    <row r="591" spans="1:26" ht="14.4" x14ac:dyDescent="0.3">
      <c r="A591" s="128"/>
      <c r="B591" s="218"/>
      <c r="C591" s="128"/>
      <c r="D591" s="128"/>
      <c r="E591" s="128"/>
      <c r="F591" s="128"/>
      <c r="G591" s="128"/>
      <c r="H591" s="21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</row>
    <row r="592" spans="1:26" ht="14.4" x14ac:dyDescent="0.3">
      <c r="A592" s="128"/>
      <c r="B592" s="218"/>
      <c r="C592" s="128"/>
      <c r="D592" s="128"/>
      <c r="E592" s="128"/>
      <c r="F592" s="128"/>
      <c r="G592" s="128"/>
      <c r="H592" s="21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</row>
    <row r="593" spans="1:26" ht="14.4" x14ac:dyDescent="0.3">
      <c r="A593" s="128"/>
      <c r="B593" s="218"/>
      <c r="C593" s="128"/>
      <c r="D593" s="128"/>
      <c r="E593" s="128"/>
      <c r="F593" s="128"/>
      <c r="G593" s="128"/>
      <c r="H593" s="21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</row>
    <row r="594" spans="1:26" ht="14.4" x14ac:dyDescent="0.3">
      <c r="A594" s="128"/>
      <c r="B594" s="218"/>
      <c r="C594" s="128"/>
      <c r="D594" s="128"/>
      <c r="E594" s="128"/>
      <c r="F594" s="128"/>
      <c r="G594" s="128"/>
      <c r="H594" s="21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</row>
    <row r="595" spans="1:26" ht="14.4" x14ac:dyDescent="0.3">
      <c r="A595" s="128"/>
      <c r="B595" s="218"/>
      <c r="C595" s="128"/>
      <c r="D595" s="128"/>
      <c r="E595" s="128"/>
      <c r="F595" s="128"/>
      <c r="G595" s="128"/>
      <c r="H595" s="21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</row>
    <row r="596" spans="1:26" ht="14.4" x14ac:dyDescent="0.3">
      <c r="A596" s="128"/>
      <c r="B596" s="218"/>
      <c r="C596" s="128"/>
      <c r="D596" s="128"/>
      <c r="E596" s="128"/>
      <c r="F596" s="128"/>
      <c r="G596" s="128"/>
      <c r="H596" s="21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</row>
    <row r="597" spans="1:26" ht="14.4" x14ac:dyDescent="0.3">
      <c r="A597" s="128"/>
      <c r="B597" s="218"/>
      <c r="C597" s="128"/>
      <c r="D597" s="128"/>
      <c r="E597" s="128"/>
      <c r="F597" s="128"/>
      <c r="G597" s="128"/>
      <c r="H597" s="21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</row>
    <row r="598" spans="1:26" ht="14.4" x14ac:dyDescent="0.3">
      <c r="A598" s="128"/>
      <c r="B598" s="218"/>
      <c r="C598" s="128"/>
      <c r="D598" s="128"/>
      <c r="E598" s="128"/>
      <c r="F598" s="128"/>
      <c r="G598" s="128"/>
      <c r="H598" s="21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</row>
    <row r="599" spans="1:26" ht="14.4" x14ac:dyDescent="0.3">
      <c r="A599" s="128"/>
      <c r="B599" s="218"/>
      <c r="C599" s="128"/>
      <c r="D599" s="128"/>
      <c r="E599" s="128"/>
      <c r="F599" s="128"/>
      <c r="G599" s="128"/>
      <c r="H599" s="21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</row>
    <row r="600" spans="1:26" ht="14.4" x14ac:dyDescent="0.3">
      <c r="A600" s="128"/>
      <c r="B600" s="218"/>
      <c r="C600" s="128"/>
      <c r="D600" s="128"/>
      <c r="E600" s="128"/>
      <c r="F600" s="128"/>
      <c r="G600" s="128"/>
      <c r="H600" s="21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</row>
    <row r="601" spans="1:26" ht="14.4" x14ac:dyDescent="0.3">
      <c r="A601" s="128"/>
      <c r="B601" s="218"/>
      <c r="C601" s="128"/>
      <c r="D601" s="128"/>
      <c r="E601" s="128"/>
      <c r="F601" s="128"/>
      <c r="G601" s="128"/>
      <c r="H601" s="21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</row>
    <row r="602" spans="1:26" ht="14.4" x14ac:dyDescent="0.3">
      <c r="A602" s="128"/>
      <c r="B602" s="218"/>
      <c r="C602" s="128"/>
      <c r="D602" s="128"/>
      <c r="E602" s="128"/>
      <c r="F602" s="128"/>
      <c r="G602" s="128"/>
      <c r="H602" s="21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</row>
    <row r="603" spans="1:26" ht="14.4" x14ac:dyDescent="0.3">
      <c r="A603" s="128"/>
      <c r="B603" s="218"/>
      <c r="C603" s="128"/>
      <c r="D603" s="128"/>
      <c r="E603" s="128"/>
      <c r="F603" s="128"/>
      <c r="G603" s="128"/>
      <c r="H603" s="21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</row>
    <row r="604" spans="1:26" ht="14.4" x14ac:dyDescent="0.3">
      <c r="A604" s="128"/>
      <c r="B604" s="218"/>
      <c r="C604" s="128"/>
      <c r="D604" s="128"/>
      <c r="E604" s="128"/>
      <c r="F604" s="128"/>
      <c r="G604" s="128"/>
      <c r="H604" s="21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</row>
    <row r="605" spans="1:26" ht="14.4" x14ac:dyDescent="0.3">
      <c r="A605" s="128"/>
      <c r="B605" s="218"/>
      <c r="C605" s="128"/>
      <c r="D605" s="128"/>
      <c r="E605" s="128"/>
      <c r="F605" s="128"/>
      <c r="G605" s="128"/>
      <c r="H605" s="21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</row>
    <row r="606" spans="1:26" ht="14.4" x14ac:dyDescent="0.3">
      <c r="A606" s="128"/>
      <c r="B606" s="218"/>
      <c r="C606" s="128"/>
      <c r="D606" s="128"/>
      <c r="E606" s="128"/>
      <c r="F606" s="128"/>
      <c r="G606" s="128"/>
      <c r="H606" s="21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</row>
    <row r="607" spans="1:26" ht="14.4" x14ac:dyDescent="0.3">
      <c r="A607" s="128"/>
      <c r="B607" s="218"/>
      <c r="C607" s="128"/>
      <c r="D607" s="128"/>
      <c r="E607" s="128"/>
      <c r="F607" s="128"/>
      <c r="G607" s="128"/>
      <c r="H607" s="21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</row>
    <row r="608" spans="1:26" ht="14.4" x14ac:dyDescent="0.3">
      <c r="A608" s="128"/>
      <c r="B608" s="218"/>
      <c r="C608" s="128"/>
      <c r="D608" s="128"/>
      <c r="E608" s="128"/>
      <c r="F608" s="128"/>
      <c r="G608" s="128"/>
      <c r="H608" s="21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</row>
    <row r="609" spans="1:26" ht="14.4" x14ac:dyDescent="0.3">
      <c r="A609" s="128"/>
      <c r="B609" s="218"/>
      <c r="C609" s="128"/>
      <c r="D609" s="128"/>
      <c r="E609" s="128"/>
      <c r="F609" s="128"/>
      <c r="G609" s="128"/>
      <c r="H609" s="21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</row>
    <row r="610" spans="1:26" ht="14.4" x14ac:dyDescent="0.3">
      <c r="A610" s="128"/>
      <c r="B610" s="218"/>
      <c r="C610" s="128"/>
      <c r="D610" s="128"/>
      <c r="E610" s="128"/>
      <c r="F610" s="128"/>
      <c r="G610" s="128"/>
      <c r="H610" s="21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</row>
    <row r="611" spans="1:26" ht="14.4" x14ac:dyDescent="0.3">
      <c r="A611" s="128"/>
      <c r="B611" s="218"/>
      <c r="C611" s="128"/>
      <c r="D611" s="128"/>
      <c r="E611" s="128"/>
      <c r="F611" s="128"/>
      <c r="G611" s="128"/>
      <c r="H611" s="21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</row>
    <row r="612" spans="1:26" ht="14.4" x14ac:dyDescent="0.3">
      <c r="A612" s="128"/>
      <c r="B612" s="218"/>
      <c r="C612" s="128"/>
      <c r="D612" s="128"/>
      <c r="E612" s="128"/>
      <c r="F612" s="128"/>
      <c r="G612" s="128"/>
      <c r="H612" s="21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</row>
    <row r="613" spans="1:26" ht="14.4" x14ac:dyDescent="0.3">
      <c r="A613" s="128"/>
      <c r="B613" s="218"/>
      <c r="C613" s="128"/>
      <c r="D613" s="128"/>
      <c r="E613" s="128"/>
      <c r="F613" s="128"/>
      <c r="G613" s="128"/>
      <c r="H613" s="21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</row>
    <row r="614" spans="1:26" ht="14.4" x14ac:dyDescent="0.3">
      <c r="A614" s="128"/>
      <c r="B614" s="218"/>
      <c r="C614" s="128"/>
      <c r="D614" s="128"/>
      <c r="E614" s="128"/>
      <c r="F614" s="128"/>
      <c r="G614" s="128"/>
      <c r="H614" s="21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</row>
    <row r="615" spans="1:26" ht="14.4" x14ac:dyDescent="0.3">
      <c r="A615" s="128"/>
      <c r="B615" s="218"/>
      <c r="C615" s="128"/>
      <c r="D615" s="128"/>
      <c r="E615" s="128"/>
      <c r="F615" s="128"/>
      <c r="G615" s="128"/>
      <c r="H615" s="21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</row>
    <row r="616" spans="1:26" ht="14.4" x14ac:dyDescent="0.3">
      <c r="A616" s="128"/>
      <c r="B616" s="218"/>
      <c r="C616" s="128"/>
      <c r="D616" s="128"/>
      <c r="E616" s="128"/>
      <c r="F616" s="128"/>
      <c r="G616" s="128"/>
      <c r="H616" s="21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</row>
    <row r="617" spans="1:26" ht="14.4" x14ac:dyDescent="0.3">
      <c r="A617" s="128"/>
      <c r="B617" s="218"/>
      <c r="C617" s="128"/>
      <c r="D617" s="128"/>
      <c r="E617" s="128"/>
      <c r="F617" s="128"/>
      <c r="G617" s="128"/>
      <c r="H617" s="21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</row>
    <row r="618" spans="1:26" ht="14.4" x14ac:dyDescent="0.3">
      <c r="A618" s="128"/>
      <c r="B618" s="218"/>
      <c r="C618" s="128"/>
      <c r="D618" s="128"/>
      <c r="E618" s="128"/>
      <c r="F618" s="128"/>
      <c r="G618" s="128"/>
      <c r="H618" s="21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</row>
    <row r="619" spans="1:26" ht="14.4" x14ac:dyDescent="0.3">
      <c r="A619" s="128"/>
      <c r="B619" s="218"/>
      <c r="C619" s="128"/>
      <c r="D619" s="128"/>
      <c r="E619" s="128"/>
      <c r="F619" s="128"/>
      <c r="G619" s="128"/>
      <c r="H619" s="21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</row>
    <row r="620" spans="1:26" ht="14.4" x14ac:dyDescent="0.3">
      <c r="A620" s="128"/>
      <c r="B620" s="218"/>
      <c r="C620" s="128"/>
      <c r="D620" s="128"/>
      <c r="E620" s="128"/>
      <c r="F620" s="128"/>
      <c r="G620" s="128"/>
      <c r="H620" s="21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</row>
    <row r="621" spans="1:26" ht="14.4" x14ac:dyDescent="0.3">
      <c r="A621" s="128"/>
      <c r="B621" s="218"/>
      <c r="C621" s="128"/>
      <c r="D621" s="128"/>
      <c r="E621" s="128"/>
      <c r="F621" s="128"/>
      <c r="G621" s="128"/>
      <c r="H621" s="21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</row>
    <row r="622" spans="1:26" ht="14.4" x14ac:dyDescent="0.3">
      <c r="A622" s="128"/>
      <c r="B622" s="218"/>
      <c r="C622" s="128"/>
      <c r="D622" s="128"/>
      <c r="E622" s="128"/>
      <c r="F622" s="128"/>
      <c r="G622" s="128"/>
      <c r="H622" s="21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</row>
    <row r="623" spans="1:26" ht="14.4" x14ac:dyDescent="0.3">
      <c r="A623" s="128"/>
      <c r="B623" s="218"/>
      <c r="C623" s="128"/>
      <c r="D623" s="128"/>
      <c r="E623" s="128"/>
      <c r="F623" s="128"/>
      <c r="G623" s="128"/>
      <c r="H623" s="21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</row>
    <row r="624" spans="1:26" ht="14.4" x14ac:dyDescent="0.3">
      <c r="A624" s="128"/>
      <c r="B624" s="218"/>
      <c r="C624" s="128"/>
      <c r="D624" s="128"/>
      <c r="E624" s="128"/>
      <c r="F624" s="128"/>
      <c r="G624" s="128"/>
      <c r="H624" s="21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</row>
    <row r="625" spans="1:26" ht="14.4" x14ac:dyDescent="0.3">
      <c r="A625" s="128"/>
      <c r="B625" s="218"/>
      <c r="C625" s="128"/>
      <c r="D625" s="128"/>
      <c r="E625" s="128"/>
      <c r="F625" s="128"/>
      <c r="G625" s="128"/>
      <c r="H625" s="21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</row>
    <row r="626" spans="1:26" ht="14.4" x14ac:dyDescent="0.3">
      <c r="A626" s="128"/>
      <c r="B626" s="218"/>
      <c r="C626" s="128"/>
      <c r="D626" s="128"/>
      <c r="E626" s="128"/>
      <c r="F626" s="128"/>
      <c r="G626" s="128"/>
      <c r="H626" s="21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</row>
    <row r="627" spans="1:26" ht="14.4" x14ac:dyDescent="0.3">
      <c r="A627" s="128"/>
      <c r="B627" s="218"/>
      <c r="C627" s="128"/>
      <c r="D627" s="128"/>
      <c r="E627" s="128"/>
      <c r="F627" s="128"/>
      <c r="G627" s="128"/>
      <c r="H627" s="21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</row>
    <row r="628" spans="1:26" ht="14.4" x14ac:dyDescent="0.3">
      <c r="A628" s="128"/>
      <c r="B628" s="218"/>
      <c r="C628" s="128"/>
      <c r="D628" s="128"/>
      <c r="E628" s="128"/>
      <c r="F628" s="128"/>
      <c r="G628" s="128"/>
      <c r="H628" s="21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</row>
    <row r="629" spans="1:26" ht="14.4" x14ac:dyDescent="0.3">
      <c r="A629" s="128"/>
      <c r="B629" s="218"/>
      <c r="C629" s="128"/>
      <c r="D629" s="128"/>
      <c r="E629" s="128"/>
      <c r="F629" s="128"/>
      <c r="G629" s="128"/>
      <c r="H629" s="21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</row>
    <row r="630" spans="1:26" ht="14.4" x14ac:dyDescent="0.3">
      <c r="A630" s="128"/>
      <c r="B630" s="218"/>
      <c r="C630" s="128"/>
      <c r="D630" s="128"/>
      <c r="E630" s="128"/>
      <c r="F630" s="128"/>
      <c r="G630" s="128"/>
      <c r="H630" s="21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</row>
    <row r="631" spans="1:26" ht="14.4" x14ac:dyDescent="0.3">
      <c r="A631" s="128"/>
      <c r="B631" s="218"/>
      <c r="C631" s="128"/>
      <c r="D631" s="128"/>
      <c r="E631" s="128"/>
      <c r="F631" s="128"/>
      <c r="G631" s="128"/>
      <c r="H631" s="21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</row>
    <row r="632" spans="1:26" ht="14.4" x14ac:dyDescent="0.3">
      <c r="A632" s="128"/>
      <c r="B632" s="218"/>
      <c r="C632" s="128"/>
      <c r="D632" s="128"/>
      <c r="E632" s="128"/>
      <c r="F632" s="128"/>
      <c r="G632" s="128"/>
      <c r="H632" s="21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</row>
    <row r="633" spans="1:26" ht="14.4" x14ac:dyDescent="0.3">
      <c r="A633" s="128"/>
      <c r="B633" s="218"/>
      <c r="C633" s="128"/>
      <c r="D633" s="128"/>
      <c r="E633" s="128"/>
      <c r="F633" s="128"/>
      <c r="G633" s="128"/>
      <c r="H633" s="21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</row>
    <row r="634" spans="1:26" ht="14.4" x14ac:dyDescent="0.3">
      <c r="A634" s="128"/>
      <c r="B634" s="218"/>
      <c r="C634" s="128"/>
      <c r="D634" s="128"/>
      <c r="E634" s="128"/>
      <c r="F634" s="128"/>
      <c r="G634" s="128"/>
      <c r="H634" s="21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</row>
    <row r="635" spans="1:26" ht="14.4" x14ac:dyDescent="0.3">
      <c r="A635" s="128"/>
      <c r="B635" s="218"/>
      <c r="C635" s="128"/>
      <c r="D635" s="128"/>
      <c r="E635" s="128"/>
      <c r="F635" s="128"/>
      <c r="G635" s="128"/>
      <c r="H635" s="21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</row>
    <row r="636" spans="1:26" ht="14.4" x14ac:dyDescent="0.3">
      <c r="A636" s="128"/>
      <c r="B636" s="218"/>
      <c r="C636" s="128"/>
      <c r="D636" s="128"/>
      <c r="E636" s="128"/>
      <c r="F636" s="128"/>
      <c r="G636" s="128"/>
      <c r="H636" s="21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</row>
    <row r="637" spans="1:26" ht="14.4" x14ac:dyDescent="0.3">
      <c r="A637" s="128"/>
      <c r="B637" s="218"/>
      <c r="C637" s="128"/>
      <c r="D637" s="128"/>
      <c r="E637" s="128"/>
      <c r="F637" s="128"/>
      <c r="G637" s="128"/>
      <c r="H637" s="21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</row>
    <row r="638" spans="1:26" ht="14.4" x14ac:dyDescent="0.3">
      <c r="A638" s="128"/>
      <c r="B638" s="218"/>
      <c r="C638" s="128"/>
      <c r="D638" s="128"/>
      <c r="E638" s="128"/>
      <c r="F638" s="128"/>
      <c r="G638" s="128"/>
      <c r="H638" s="21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</row>
    <row r="639" spans="1:26" ht="14.4" x14ac:dyDescent="0.3">
      <c r="A639" s="128"/>
      <c r="B639" s="218"/>
      <c r="C639" s="128"/>
      <c r="D639" s="128"/>
      <c r="E639" s="128"/>
      <c r="F639" s="128"/>
      <c r="G639" s="128"/>
      <c r="H639" s="21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</row>
    <row r="640" spans="1:26" ht="14.4" x14ac:dyDescent="0.3">
      <c r="A640" s="128"/>
      <c r="B640" s="218"/>
      <c r="C640" s="128"/>
      <c r="D640" s="128"/>
      <c r="E640" s="128"/>
      <c r="F640" s="128"/>
      <c r="G640" s="128"/>
      <c r="H640" s="21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</row>
    <row r="641" spans="1:26" ht="14.4" x14ac:dyDescent="0.3">
      <c r="A641" s="128"/>
      <c r="B641" s="218"/>
      <c r="C641" s="128"/>
      <c r="D641" s="128"/>
      <c r="E641" s="128"/>
      <c r="F641" s="128"/>
      <c r="G641" s="128"/>
      <c r="H641" s="21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</row>
    <row r="642" spans="1:26" ht="14.4" x14ac:dyDescent="0.3">
      <c r="A642" s="128"/>
      <c r="B642" s="218"/>
      <c r="C642" s="128"/>
      <c r="D642" s="128"/>
      <c r="E642" s="128"/>
      <c r="F642" s="128"/>
      <c r="G642" s="128"/>
      <c r="H642" s="21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</row>
    <row r="643" spans="1:26" ht="14.4" x14ac:dyDescent="0.3">
      <c r="A643" s="128"/>
      <c r="B643" s="218"/>
      <c r="C643" s="128"/>
      <c r="D643" s="128"/>
      <c r="E643" s="128"/>
      <c r="F643" s="128"/>
      <c r="G643" s="128"/>
      <c r="H643" s="21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</row>
    <row r="644" spans="1:26" ht="14.4" x14ac:dyDescent="0.3">
      <c r="A644" s="128"/>
      <c r="B644" s="218"/>
      <c r="C644" s="128"/>
      <c r="D644" s="128"/>
      <c r="E644" s="128"/>
      <c r="F644" s="128"/>
      <c r="G644" s="128"/>
      <c r="H644" s="21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</row>
    <row r="645" spans="1:26" ht="14.4" x14ac:dyDescent="0.3">
      <c r="A645" s="128"/>
      <c r="B645" s="218"/>
      <c r="C645" s="128"/>
      <c r="D645" s="128"/>
      <c r="E645" s="128"/>
      <c r="F645" s="128"/>
      <c r="G645" s="128"/>
      <c r="H645" s="21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</row>
    <row r="646" spans="1:26" ht="14.4" x14ac:dyDescent="0.3">
      <c r="A646" s="128"/>
      <c r="B646" s="218"/>
      <c r="C646" s="128"/>
      <c r="D646" s="128"/>
      <c r="E646" s="128"/>
      <c r="F646" s="128"/>
      <c r="G646" s="128"/>
      <c r="H646" s="21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</row>
    <row r="647" spans="1:26" ht="14.4" x14ac:dyDescent="0.3">
      <c r="A647" s="128"/>
      <c r="B647" s="218"/>
      <c r="C647" s="128"/>
      <c r="D647" s="128"/>
      <c r="E647" s="128"/>
      <c r="F647" s="128"/>
      <c r="G647" s="128"/>
      <c r="H647" s="21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</row>
    <row r="648" spans="1:26" ht="14.4" x14ac:dyDescent="0.3">
      <c r="A648" s="128"/>
      <c r="B648" s="218"/>
      <c r="C648" s="128"/>
      <c r="D648" s="128"/>
      <c r="E648" s="128"/>
      <c r="F648" s="128"/>
      <c r="G648" s="128"/>
      <c r="H648" s="21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</row>
    <row r="649" spans="1:26" ht="14.4" x14ac:dyDescent="0.3">
      <c r="A649" s="128"/>
      <c r="B649" s="218"/>
      <c r="C649" s="128"/>
      <c r="D649" s="128"/>
      <c r="E649" s="128"/>
      <c r="F649" s="128"/>
      <c r="G649" s="128"/>
      <c r="H649" s="21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</row>
    <row r="650" spans="1:26" ht="14.4" x14ac:dyDescent="0.3">
      <c r="A650" s="128"/>
      <c r="B650" s="218"/>
      <c r="C650" s="128"/>
      <c r="D650" s="128"/>
      <c r="E650" s="128"/>
      <c r="F650" s="128"/>
      <c r="G650" s="128"/>
      <c r="H650" s="21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</row>
    <row r="651" spans="1:26" ht="14.4" x14ac:dyDescent="0.3">
      <c r="A651" s="128"/>
      <c r="B651" s="218"/>
      <c r="C651" s="128"/>
      <c r="D651" s="128"/>
      <c r="E651" s="128"/>
      <c r="F651" s="128"/>
      <c r="G651" s="128"/>
      <c r="H651" s="21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</row>
    <row r="652" spans="1:26" ht="14.4" x14ac:dyDescent="0.3">
      <c r="A652" s="128"/>
      <c r="B652" s="218"/>
      <c r="C652" s="128"/>
      <c r="D652" s="128"/>
      <c r="E652" s="128"/>
      <c r="F652" s="128"/>
      <c r="G652" s="128"/>
      <c r="H652" s="21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</row>
    <row r="653" spans="1:26" ht="14.4" x14ac:dyDescent="0.3">
      <c r="A653" s="128"/>
      <c r="B653" s="218"/>
      <c r="C653" s="128"/>
      <c r="D653" s="128"/>
      <c r="E653" s="128"/>
      <c r="F653" s="128"/>
      <c r="G653" s="128"/>
      <c r="H653" s="21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</row>
    <row r="654" spans="1:26" ht="14.4" x14ac:dyDescent="0.3">
      <c r="A654" s="128"/>
      <c r="B654" s="218"/>
      <c r="C654" s="128"/>
      <c r="D654" s="128"/>
      <c r="E654" s="128"/>
      <c r="F654" s="128"/>
      <c r="G654" s="128"/>
      <c r="H654" s="21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</row>
    <row r="655" spans="1:26" ht="14.4" x14ac:dyDescent="0.3">
      <c r="A655" s="128"/>
      <c r="B655" s="218"/>
      <c r="C655" s="128"/>
      <c r="D655" s="128"/>
      <c r="E655" s="128"/>
      <c r="F655" s="128"/>
      <c r="G655" s="128"/>
      <c r="H655" s="21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</row>
    <row r="656" spans="1:26" ht="14.4" x14ac:dyDescent="0.3">
      <c r="A656" s="128"/>
      <c r="B656" s="218"/>
      <c r="C656" s="128"/>
      <c r="D656" s="128"/>
      <c r="E656" s="128"/>
      <c r="F656" s="128"/>
      <c r="G656" s="128"/>
      <c r="H656" s="21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</row>
    <row r="657" spans="1:26" ht="14.4" x14ac:dyDescent="0.3">
      <c r="A657" s="128"/>
      <c r="B657" s="218"/>
      <c r="C657" s="128"/>
      <c r="D657" s="128"/>
      <c r="E657" s="128"/>
      <c r="F657" s="128"/>
      <c r="G657" s="128"/>
      <c r="H657" s="21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</row>
    <row r="658" spans="1:26" ht="14.4" x14ac:dyDescent="0.3">
      <c r="A658" s="128"/>
      <c r="B658" s="218"/>
      <c r="C658" s="128"/>
      <c r="D658" s="128"/>
      <c r="E658" s="128"/>
      <c r="F658" s="128"/>
      <c r="G658" s="128"/>
      <c r="H658" s="21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</row>
    <row r="659" spans="1:26" ht="14.4" x14ac:dyDescent="0.3">
      <c r="A659" s="128"/>
      <c r="B659" s="218"/>
      <c r="C659" s="128"/>
      <c r="D659" s="128"/>
      <c r="E659" s="128"/>
      <c r="F659" s="128"/>
      <c r="G659" s="128"/>
      <c r="H659" s="21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</row>
    <row r="660" spans="1:26" ht="14.4" x14ac:dyDescent="0.3">
      <c r="A660" s="128"/>
      <c r="B660" s="218"/>
      <c r="C660" s="128"/>
      <c r="D660" s="128"/>
      <c r="E660" s="128"/>
      <c r="F660" s="128"/>
      <c r="G660" s="128"/>
      <c r="H660" s="21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</row>
    <row r="661" spans="1:26" ht="14.4" x14ac:dyDescent="0.3">
      <c r="A661" s="128"/>
      <c r="B661" s="218"/>
      <c r="C661" s="128"/>
      <c r="D661" s="128"/>
      <c r="E661" s="128"/>
      <c r="F661" s="128"/>
      <c r="G661" s="128"/>
      <c r="H661" s="21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</row>
    <row r="662" spans="1:26" ht="14.4" x14ac:dyDescent="0.3">
      <c r="A662" s="128"/>
      <c r="B662" s="218"/>
      <c r="C662" s="128"/>
      <c r="D662" s="128"/>
      <c r="E662" s="128"/>
      <c r="F662" s="128"/>
      <c r="G662" s="128"/>
      <c r="H662" s="21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</row>
    <row r="663" spans="1:26" ht="14.4" x14ac:dyDescent="0.3">
      <c r="A663" s="128"/>
      <c r="B663" s="218"/>
      <c r="C663" s="128"/>
      <c r="D663" s="128"/>
      <c r="E663" s="128"/>
      <c r="F663" s="128"/>
      <c r="G663" s="128"/>
      <c r="H663" s="21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</row>
    <row r="664" spans="1:26" ht="14.4" x14ac:dyDescent="0.3">
      <c r="A664" s="128"/>
      <c r="B664" s="218"/>
      <c r="C664" s="128"/>
      <c r="D664" s="128"/>
      <c r="E664" s="128"/>
      <c r="F664" s="128"/>
      <c r="G664" s="128"/>
      <c r="H664" s="21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</row>
    <row r="665" spans="1:26" ht="14.4" x14ac:dyDescent="0.3">
      <c r="A665" s="128"/>
      <c r="B665" s="218"/>
      <c r="C665" s="128"/>
      <c r="D665" s="128"/>
      <c r="E665" s="128"/>
      <c r="F665" s="128"/>
      <c r="G665" s="128"/>
      <c r="H665" s="21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</row>
    <row r="666" spans="1:26" ht="14.4" x14ac:dyDescent="0.3">
      <c r="A666" s="128"/>
      <c r="B666" s="218"/>
      <c r="C666" s="128"/>
      <c r="D666" s="128"/>
      <c r="E666" s="128"/>
      <c r="F666" s="128"/>
      <c r="G666" s="128"/>
      <c r="H666" s="21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</row>
    <row r="667" spans="1:26" ht="14.4" x14ac:dyDescent="0.3">
      <c r="A667" s="128"/>
      <c r="B667" s="218"/>
      <c r="C667" s="128"/>
      <c r="D667" s="128"/>
      <c r="E667" s="128"/>
      <c r="F667" s="128"/>
      <c r="G667" s="128"/>
      <c r="H667" s="21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</row>
    <row r="668" spans="1:26" ht="14.4" x14ac:dyDescent="0.3">
      <c r="A668" s="128"/>
      <c r="B668" s="218"/>
      <c r="C668" s="128"/>
      <c r="D668" s="128"/>
      <c r="E668" s="128"/>
      <c r="F668" s="128"/>
      <c r="G668" s="128"/>
      <c r="H668" s="21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</row>
    <row r="669" spans="1:26" ht="14.4" x14ac:dyDescent="0.3">
      <c r="A669" s="128"/>
      <c r="B669" s="218"/>
      <c r="C669" s="128"/>
      <c r="D669" s="128"/>
      <c r="E669" s="128"/>
      <c r="F669" s="128"/>
      <c r="G669" s="128"/>
      <c r="H669" s="21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</row>
    <row r="670" spans="1:26" ht="14.4" x14ac:dyDescent="0.3">
      <c r="A670" s="128"/>
      <c r="B670" s="218"/>
      <c r="C670" s="128"/>
      <c r="D670" s="128"/>
      <c r="E670" s="128"/>
      <c r="F670" s="128"/>
      <c r="G670" s="128"/>
      <c r="H670" s="21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</row>
    <row r="671" spans="1:26" ht="14.4" x14ac:dyDescent="0.3">
      <c r="A671" s="128"/>
      <c r="B671" s="218"/>
      <c r="C671" s="128"/>
      <c r="D671" s="128"/>
      <c r="E671" s="128"/>
      <c r="F671" s="128"/>
      <c r="G671" s="128"/>
      <c r="H671" s="21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</row>
    <row r="672" spans="1:26" ht="14.4" x14ac:dyDescent="0.3">
      <c r="A672" s="128"/>
      <c r="B672" s="218"/>
      <c r="C672" s="128"/>
      <c r="D672" s="128"/>
      <c r="E672" s="128"/>
      <c r="F672" s="128"/>
      <c r="G672" s="128"/>
      <c r="H672" s="21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</row>
    <row r="673" spans="1:26" ht="14.4" x14ac:dyDescent="0.3">
      <c r="A673" s="128"/>
      <c r="B673" s="218"/>
      <c r="C673" s="128"/>
      <c r="D673" s="128"/>
      <c r="E673" s="128"/>
      <c r="F673" s="128"/>
      <c r="G673" s="128"/>
      <c r="H673" s="21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</row>
    <row r="674" spans="1:26" ht="14.4" x14ac:dyDescent="0.3">
      <c r="A674" s="128"/>
      <c r="B674" s="218"/>
      <c r="C674" s="128"/>
      <c r="D674" s="128"/>
      <c r="E674" s="128"/>
      <c r="F674" s="128"/>
      <c r="G674" s="128"/>
      <c r="H674" s="21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</row>
    <row r="675" spans="1:26" ht="14.4" x14ac:dyDescent="0.3">
      <c r="A675" s="128"/>
      <c r="B675" s="218"/>
      <c r="C675" s="128"/>
      <c r="D675" s="128"/>
      <c r="E675" s="128"/>
      <c r="F675" s="128"/>
      <c r="G675" s="128"/>
      <c r="H675" s="21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</row>
    <row r="676" spans="1:26" ht="14.4" x14ac:dyDescent="0.3">
      <c r="A676" s="128"/>
      <c r="B676" s="218"/>
      <c r="C676" s="128"/>
      <c r="D676" s="128"/>
      <c r="E676" s="128"/>
      <c r="F676" s="128"/>
      <c r="G676" s="128"/>
      <c r="H676" s="21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</row>
    <row r="677" spans="1:26" ht="14.4" x14ac:dyDescent="0.3">
      <c r="A677" s="128"/>
      <c r="B677" s="218"/>
      <c r="C677" s="128"/>
      <c r="D677" s="128"/>
      <c r="E677" s="128"/>
      <c r="F677" s="128"/>
      <c r="G677" s="128"/>
      <c r="H677" s="21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</row>
    <row r="678" spans="1:26" ht="14.4" x14ac:dyDescent="0.3">
      <c r="A678" s="128"/>
      <c r="B678" s="218"/>
      <c r="C678" s="128"/>
      <c r="D678" s="128"/>
      <c r="E678" s="128"/>
      <c r="F678" s="128"/>
      <c r="G678" s="128"/>
      <c r="H678" s="21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</row>
    <row r="679" spans="1:26" ht="14.4" x14ac:dyDescent="0.3">
      <c r="A679" s="128"/>
      <c r="B679" s="218"/>
      <c r="C679" s="128"/>
      <c r="D679" s="128"/>
      <c r="E679" s="128"/>
      <c r="F679" s="128"/>
      <c r="G679" s="128"/>
      <c r="H679" s="21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</row>
    <row r="680" spans="1:26" ht="14.4" x14ac:dyDescent="0.3">
      <c r="A680" s="128"/>
      <c r="B680" s="218"/>
      <c r="C680" s="128"/>
      <c r="D680" s="128"/>
      <c r="E680" s="128"/>
      <c r="F680" s="128"/>
      <c r="G680" s="128"/>
      <c r="H680" s="21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</row>
    <row r="681" spans="1:26" ht="14.4" x14ac:dyDescent="0.3">
      <c r="A681" s="128"/>
      <c r="B681" s="218"/>
      <c r="C681" s="128"/>
      <c r="D681" s="128"/>
      <c r="E681" s="128"/>
      <c r="F681" s="128"/>
      <c r="G681" s="128"/>
      <c r="H681" s="21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</row>
    <row r="682" spans="1:26" ht="14.4" x14ac:dyDescent="0.3">
      <c r="A682" s="128"/>
      <c r="B682" s="218"/>
      <c r="C682" s="128"/>
      <c r="D682" s="128"/>
      <c r="E682" s="128"/>
      <c r="F682" s="128"/>
      <c r="G682" s="128"/>
      <c r="H682" s="21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</row>
    <row r="683" spans="1:26" ht="14.4" x14ac:dyDescent="0.3">
      <c r="A683" s="128"/>
      <c r="B683" s="218"/>
      <c r="C683" s="128"/>
      <c r="D683" s="128"/>
      <c r="E683" s="128"/>
      <c r="F683" s="128"/>
      <c r="G683" s="128"/>
      <c r="H683" s="21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</row>
    <row r="684" spans="1:26" ht="14.4" x14ac:dyDescent="0.3">
      <c r="A684" s="128"/>
      <c r="B684" s="218"/>
      <c r="C684" s="128"/>
      <c r="D684" s="128"/>
      <c r="E684" s="128"/>
      <c r="F684" s="128"/>
      <c r="G684" s="128"/>
      <c r="H684" s="21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</row>
    <row r="685" spans="1:26" ht="14.4" x14ac:dyDescent="0.3">
      <c r="A685" s="128"/>
      <c r="B685" s="218"/>
      <c r="C685" s="128"/>
      <c r="D685" s="128"/>
      <c r="E685" s="128"/>
      <c r="F685" s="128"/>
      <c r="G685" s="128"/>
      <c r="H685" s="21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</row>
    <row r="686" spans="1:26" ht="14.4" x14ac:dyDescent="0.3">
      <c r="A686" s="128"/>
      <c r="B686" s="218"/>
      <c r="C686" s="128"/>
      <c r="D686" s="128"/>
      <c r="E686" s="128"/>
      <c r="F686" s="128"/>
      <c r="G686" s="128"/>
      <c r="H686" s="21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</row>
    <row r="687" spans="1:26" ht="14.4" x14ac:dyDescent="0.3">
      <c r="A687" s="128"/>
      <c r="B687" s="218"/>
      <c r="C687" s="128"/>
      <c r="D687" s="128"/>
      <c r="E687" s="128"/>
      <c r="F687" s="128"/>
      <c r="G687" s="128"/>
      <c r="H687" s="21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</row>
    <row r="688" spans="1:26" ht="14.4" x14ac:dyDescent="0.3">
      <c r="A688" s="128"/>
      <c r="B688" s="218"/>
      <c r="C688" s="128"/>
      <c r="D688" s="128"/>
      <c r="E688" s="128"/>
      <c r="F688" s="128"/>
      <c r="G688" s="128"/>
      <c r="H688" s="21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</row>
    <row r="689" spans="1:26" ht="14.4" x14ac:dyDescent="0.3">
      <c r="A689" s="128"/>
      <c r="B689" s="218"/>
      <c r="C689" s="128"/>
      <c r="D689" s="128"/>
      <c r="E689" s="128"/>
      <c r="F689" s="128"/>
      <c r="G689" s="128"/>
      <c r="H689" s="21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</row>
    <row r="690" spans="1:26" ht="14.4" x14ac:dyDescent="0.3">
      <c r="A690" s="128"/>
      <c r="B690" s="218"/>
      <c r="C690" s="128"/>
      <c r="D690" s="128"/>
      <c r="E690" s="128"/>
      <c r="F690" s="128"/>
      <c r="G690" s="128"/>
      <c r="H690" s="21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</row>
    <row r="691" spans="1:26" ht="14.4" x14ac:dyDescent="0.3">
      <c r="A691" s="128"/>
      <c r="B691" s="218"/>
      <c r="C691" s="128"/>
      <c r="D691" s="128"/>
      <c r="E691" s="128"/>
      <c r="F691" s="128"/>
      <c r="G691" s="128"/>
      <c r="H691" s="21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</row>
    <row r="692" spans="1:26" ht="14.4" x14ac:dyDescent="0.3">
      <c r="A692" s="128"/>
      <c r="B692" s="218"/>
      <c r="C692" s="128"/>
      <c r="D692" s="128"/>
      <c r="E692" s="128"/>
      <c r="F692" s="128"/>
      <c r="G692" s="128"/>
      <c r="H692" s="21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</row>
    <row r="693" spans="1:26" ht="14.4" x14ac:dyDescent="0.3">
      <c r="A693" s="128"/>
      <c r="B693" s="218"/>
      <c r="C693" s="128"/>
      <c r="D693" s="128"/>
      <c r="E693" s="128"/>
      <c r="F693" s="128"/>
      <c r="G693" s="128"/>
      <c r="H693" s="21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</row>
    <row r="694" spans="1:26" ht="14.4" x14ac:dyDescent="0.3">
      <c r="A694" s="128"/>
      <c r="B694" s="218"/>
      <c r="C694" s="128"/>
      <c r="D694" s="128"/>
      <c r="E694" s="128"/>
      <c r="F694" s="128"/>
      <c r="G694" s="128"/>
      <c r="H694" s="21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</row>
    <row r="695" spans="1:26" ht="14.4" x14ac:dyDescent="0.3">
      <c r="A695" s="128"/>
      <c r="B695" s="218"/>
      <c r="C695" s="128"/>
      <c r="D695" s="128"/>
      <c r="E695" s="128"/>
      <c r="F695" s="128"/>
      <c r="G695" s="128"/>
      <c r="H695" s="21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</row>
    <row r="696" spans="1:26" ht="14.4" x14ac:dyDescent="0.3">
      <c r="A696" s="128"/>
      <c r="B696" s="218"/>
      <c r="C696" s="128"/>
      <c r="D696" s="128"/>
      <c r="E696" s="128"/>
      <c r="F696" s="128"/>
      <c r="G696" s="128"/>
      <c r="H696" s="21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</row>
    <row r="697" spans="1:26" ht="14.4" x14ac:dyDescent="0.3">
      <c r="A697" s="128"/>
      <c r="B697" s="218"/>
      <c r="C697" s="128"/>
      <c r="D697" s="128"/>
      <c r="E697" s="128"/>
      <c r="F697" s="128"/>
      <c r="G697" s="128"/>
      <c r="H697" s="21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</row>
    <row r="698" spans="1:26" ht="14.4" x14ac:dyDescent="0.3">
      <c r="A698" s="128"/>
      <c r="B698" s="218"/>
      <c r="C698" s="128"/>
      <c r="D698" s="128"/>
      <c r="E698" s="128"/>
      <c r="F698" s="128"/>
      <c r="G698" s="128"/>
      <c r="H698" s="21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</row>
    <row r="699" spans="1:26" ht="14.4" x14ac:dyDescent="0.3">
      <c r="A699" s="128"/>
      <c r="B699" s="218"/>
      <c r="C699" s="128"/>
      <c r="D699" s="128"/>
      <c r="E699" s="128"/>
      <c r="F699" s="128"/>
      <c r="G699" s="128"/>
      <c r="H699" s="21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</row>
    <row r="700" spans="1:26" ht="14.4" x14ac:dyDescent="0.3">
      <c r="A700" s="128"/>
      <c r="B700" s="218"/>
      <c r="C700" s="128"/>
      <c r="D700" s="128"/>
      <c r="E700" s="128"/>
      <c r="F700" s="128"/>
      <c r="G700" s="128"/>
      <c r="H700" s="21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</row>
    <row r="701" spans="1:26" ht="14.4" x14ac:dyDescent="0.3">
      <c r="A701" s="128"/>
      <c r="B701" s="218"/>
      <c r="C701" s="128"/>
      <c r="D701" s="128"/>
      <c r="E701" s="128"/>
      <c r="F701" s="128"/>
      <c r="G701" s="128"/>
      <c r="H701" s="21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</row>
    <row r="702" spans="1:26" ht="14.4" x14ac:dyDescent="0.3">
      <c r="A702" s="128"/>
      <c r="B702" s="218"/>
      <c r="C702" s="128"/>
      <c r="D702" s="128"/>
      <c r="E702" s="128"/>
      <c r="F702" s="128"/>
      <c r="G702" s="128"/>
      <c r="H702" s="21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</row>
    <row r="703" spans="1:26" ht="14.4" x14ac:dyDescent="0.3">
      <c r="A703" s="128"/>
      <c r="B703" s="218"/>
      <c r="C703" s="128"/>
      <c r="D703" s="128"/>
      <c r="E703" s="128"/>
      <c r="F703" s="128"/>
      <c r="G703" s="128"/>
      <c r="H703" s="21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</row>
    <row r="704" spans="1:26" ht="14.4" x14ac:dyDescent="0.3">
      <c r="A704" s="128"/>
      <c r="B704" s="218"/>
      <c r="C704" s="128"/>
      <c r="D704" s="128"/>
      <c r="E704" s="128"/>
      <c r="F704" s="128"/>
      <c r="G704" s="128"/>
      <c r="H704" s="21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</row>
    <row r="705" spans="1:26" ht="14.4" x14ac:dyDescent="0.3">
      <c r="A705" s="128"/>
      <c r="B705" s="218"/>
      <c r="C705" s="128"/>
      <c r="D705" s="128"/>
      <c r="E705" s="128"/>
      <c r="F705" s="128"/>
      <c r="G705" s="128"/>
      <c r="H705" s="21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</row>
    <row r="706" spans="1:26" ht="14.4" x14ac:dyDescent="0.3">
      <c r="A706" s="128"/>
      <c r="B706" s="218"/>
      <c r="C706" s="128"/>
      <c r="D706" s="128"/>
      <c r="E706" s="128"/>
      <c r="F706" s="128"/>
      <c r="G706" s="128"/>
      <c r="H706" s="21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</row>
    <row r="707" spans="1:26" ht="14.4" x14ac:dyDescent="0.3">
      <c r="A707" s="128"/>
      <c r="B707" s="218"/>
      <c r="C707" s="128"/>
      <c r="D707" s="128"/>
      <c r="E707" s="128"/>
      <c r="F707" s="128"/>
      <c r="G707" s="128"/>
      <c r="H707" s="21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</row>
    <row r="708" spans="1:26" ht="14.4" x14ac:dyDescent="0.3">
      <c r="A708" s="128"/>
      <c r="B708" s="218"/>
      <c r="C708" s="128"/>
      <c r="D708" s="128"/>
      <c r="E708" s="128"/>
      <c r="F708" s="128"/>
      <c r="G708" s="128"/>
      <c r="H708" s="21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</row>
    <row r="709" spans="1:26" ht="14.4" x14ac:dyDescent="0.3">
      <c r="A709" s="128"/>
      <c r="B709" s="218"/>
      <c r="C709" s="128"/>
      <c r="D709" s="128"/>
      <c r="E709" s="128"/>
      <c r="F709" s="128"/>
      <c r="G709" s="128"/>
      <c r="H709" s="21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</row>
    <row r="710" spans="1:26" ht="14.4" x14ac:dyDescent="0.3">
      <c r="A710" s="128"/>
      <c r="B710" s="218"/>
      <c r="C710" s="128"/>
      <c r="D710" s="128"/>
      <c r="E710" s="128"/>
      <c r="F710" s="128"/>
      <c r="G710" s="128"/>
      <c r="H710" s="21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</row>
    <row r="711" spans="1:26" ht="14.4" x14ac:dyDescent="0.3">
      <c r="A711" s="128"/>
      <c r="B711" s="218"/>
      <c r="C711" s="128"/>
      <c r="D711" s="128"/>
      <c r="E711" s="128"/>
      <c r="F711" s="128"/>
      <c r="G711" s="128"/>
      <c r="H711" s="21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</row>
    <row r="712" spans="1:26" ht="14.4" x14ac:dyDescent="0.3">
      <c r="A712" s="128"/>
      <c r="B712" s="218"/>
      <c r="C712" s="128"/>
      <c r="D712" s="128"/>
      <c r="E712" s="128"/>
      <c r="F712" s="128"/>
      <c r="G712" s="128"/>
      <c r="H712" s="21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</row>
    <row r="713" spans="1:26" ht="14.4" x14ac:dyDescent="0.3">
      <c r="A713" s="128"/>
      <c r="B713" s="218"/>
      <c r="C713" s="128"/>
      <c r="D713" s="128"/>
      <c r="E713" s="128"/>
      <c r="F713" s="128"/>
      <c r="G713" s="128"/>
      <c r="H713" s="21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</row>
    <row r="714" spans="1:26" ht="14.4" x14ac:dyDescent="0.3">
      <c r="A714" s="128"/>
      <c r="B714" s="218"/>
      <c r="C714" s="128"/>
      <c r="D714" s="128"/>
      <c r="E714" s="128"/>
      <c r="F714" s="128"/>
      <c r="G714" s="128"/>
      <c r="H714" s="21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</row>
    <row r="715" spans="1:26" ht="14.4" x14ac:dyDescent="0.3">
      <c r="A715" s="128"/>
      <c r="B715" s="218"/>
      <c r="C715" s="128"/>
      <c r="D715" s="128"/>
      <c r="E715" s="128"/>
      <c r="F715" s="128"/>
      <c r="G715" s="128"/>
      <c r="H715" s="21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</row>
    <row r="716" spans="1:26" ht="14.4" x14ac:dyDescent="0.3">
      <c r="A716" s="128"/>
      <c r="B716" s="218"/>
      <c r="C716" s="128"/>
      <c r="D716" s="128"/>
      <c r="E716" s="128"/>
      <c r="F716" s="128"/>
      <c r="G716" s="128"/>
      <c r="H716" s="21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</row>
    <row r="717" spans="1:26" ht="14.4" x14ac:dyDescent="0.3">
      <c r="A717" s="128"/>
      <c r="B717" s="218"/>
      <c r="C717" s="128"/>
      <c r="D717" s="128"/>
      <c r="E717" s="128"/>
      <c r="F717" s="128"/>
      <c r="G717" s="128"/>
      <c r="H717" s="21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</row>
    <row r="718" spans="1:26" ht="14.4" x14ac:dyDescent="0.3">
      <c r="A718" s="128"/>
      <c r="B718" s="218"/>
      <c r="C718" s="128"/>
      <c r="D718" s="128"/>
      <c r="E718" s="128"/>
      <c r="F718" s="128"/>
      <c r="G718" s="128"/>
      <c r="H718" s="21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</row>
    <row r="719" spans="1:26" ht="14.4" x14ac:dyDescent="0.3">
      <c r="A719" s="128"/>
      <c r="B719" s="218"/>
      <c r="C719" s="128"/>
      <c r="D719" s="128"/>
      <c r="E719" s="128"/>
      <c r="F719" s="128"/>
      <c r="G719" s="128"/>
      <c r="H719" s="21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</row>
    <row r="720" spans="1:26" ht="14.4" x14ac:dyDescent="0.3">
      <c r="A720" s="128"/>
      <c r="B720" s="218"/>
      <c r="C720" s="128"/>
      <c r="D720" s="128"/>
      <c r="E720" s="128"/>
      <c r="F720" s="128"/>
      <c r="G720" s="128"/>
      <c r="H720" s="21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</row>
    <row r="721" spans="1:26" ht="14.4" x14ac:dyDescent="0.3">
      <c r="A721" s="128"/>
      <c r="B721" s="218"/>
      <c r="C721" s="128"/>
      <c r="D721" s="128"/>
      <c r="E721" s="128"/>
      <c r="F721" s="128"/>
      <c r="G721" s="128"/>
      <c r="H721" s="21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</row>
    <row r="722" spans="1:26" ht="14.4" x14ac:dyDescent="0.3">
      <c r="A722" s="128"/>
      <c r="B722" s="218"/>
      <c r="C722" s="128"/>
      <c r="D722" s="128"/>
      <c r="E722" s="128"/>
      <c r="F722" s="128"/>
      <c r="G722" s="128"/>
      <c r="H722" s="21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</row>
    <row r="723" spans="1:26" ht="14.4" x14ac:dyDescent="0.3">
      <c r="A723" s="128"/>
      <c r="B723" s="218"/>
      <c r="C723" s="128"/>
      <c r="D723" s="128"/>
      <c r="E723" s="128"/>
      <c r="F723" s="128"/>
      <c r="G723" s="128"/>
      <c r="H723" s="21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</row>
    <row r="724" spans="1:26" ht="14.4" x14ac:dyDescent="0.3">
      <c r="A724" s="128"/>
      <c r="B724" s="218"/>
      <c r="C724" s="128"/>
      <c r="D724" s="128"/>
      <c r="E724" s="128"/>
      <c r="F724" s="128"/>
      <c r="G724" s="128"/>
      <c r="H724" s="21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</row>
    <row r="725" spans="1:26" ht="14.4" x14ac:dyDescent="0.3">
      <c r="A725" s="128"/>
      <c r="B725" s="218"/>
      <c r="C725" s="128"/>
      <c r="D725" s="128"/>
      <c r="E725" s="128"/>
      <c r="F725" s="128"/>
      <c r="G725" s="128"/>
      <c r="H725" s="21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</row>
    <row r="726" spans="1:26" ht="14.4" x14ac:dyDescent="0.3">
      <c r="A726" s="128"/>
      <c r="B726" s="218"/>
      <c r="C726" s="128"/>
      <c r="D726" s="128"/>
      <c r="E726" s="128"/>
      <c r="F726" s="128"/>
      <c r="G726" s="128"/>
      <c r="H726" s="21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</row>
    <row r="727" spans="1:26" ht="14.4" x14ac:dyDescent="0.3">
      <c r="A727" s="128"/>
      <c r="B727" s="218"/>
      <c r="C727" s="128"/>
      <c r="D727" s="128"/>
      <c r="E727" s="128"/>
      <c r="F727" s="128"/>
      <c r="G727" s="128"/>
      <c r="H727" s="21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</row>
    <row r="728" spans="1:26" ht="14.4" x14ac:dyDescent="0.3">
      <c r="A728" s="128"/>
      <c r="B728" s="218"/>
      <c r="C728" s="128"/>
      <c r="D728" s="128"/>
      <c r="E728" s="128"/>
      <c r="F728" s="128"/>
      <c r="G728" s="128"/>
      <c r="H728" s="21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</row>
    <row r="729" spans="1:26" ht="14.4" x14ac:dyDescent="0.3">
      <c r="A729" s="128"/>
      <c r="B729" s="218"/>
      <c r="C729" s="128"/>
      <c r="D729" s="128"/>
      <c r="E729" s="128"/>
      <c r="F729" s="128"/>
      <c r="G729" s="128"/>
      <c r="H729" s="21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</row>
    <row r="730" spans="1:26" ht="14.4" x14ac:dyDescent="0.3">
      <c r="A730" s="128"/>
      <c r="B730" s="218"/>
      <c r="C730" s="128"/>
      <c r="D730" s="128"/>
      <c r="E730" s="128"/>
      <c r="F730" s="128"/>
      <c r="G730" s="128"/>
      <c r="H730" s="21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</row>
    <row r="731" spans="1:26" ht="14.4" x14ac:dyDescent="0.3">
      <c r="A731" s="128"/>
      <c r="B731" s="218"/>
      <c r="C731" s="128"/>
      <c r="D731" s="128"/>
      <c r="E731" s="128"/>
      <c r="F731" s="128"/>
      <c r="G731" s="128"/>
      <c r="H731" s="21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</row>
    <row r="732" spans="1:26" ht="14.4" x14ac:dyDescent="0.3">
      <c r="A732" s="128"/>
      <c r="B732" s="218"/>
      <c r="C732" s="128"/>
      <c r="D732" s="128"/>
      <c r="E732" s="128"/>
      <c r="F732" s="128"/>
      <c r="G732" s="128"/>
      <c r="H732" s="21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</row>
    <row r="733" spans="1:26" ht="14.4" x14ac:dyDescent="0.3">
      <c r="A733" s="128"/>
      <c r="B733" s="218"/>
      <c r="C733" s="128"/>
      <c r="D733" s="128"/>
      <c r="E733" s="128"/>
      <c r="F733" s="128"/>
      <c r="G733" s="128"/>
      <c r="H733" s="21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</row>
    <row r="734" spans="1:26" ht="14.4" x14ac:dyDescent="0.3">
      <c r="A734" s="128"/>
      <c r="B734" s="218"/>
      <c r="C734" s="128"/>
      <c r="D734" s="128"/>
      <c r="E734" s="128"/>
      <c r="F734" s="128"/>
      <c r="G734" s="128"/>
      <c r="H734" s="21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</row>
    <row r="735" spans="1:26" ht="14.4" x14ac:dyDescent="0.3">
      <c r="A735" s="128"/>
      <c r="B735" s="218"/>
      <c r="C735" s="128"/>
      <c r="D735" s="128"/>
      <c r="E735" s="128"/>
      <c r="F735" s="128"/>
      <c r="G735" s="128"/>
      <c r="H735" s="21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</row>
    <row r="736" spans="1:26" ht="14.4" x14ac:dyDescent="0.3">
      <c r="A736" s="128"/>
      <c r="B736" s="218"/>
      <c r="C736" s="128"/>
      <c r="D736" s="128"/>
      <c r="E736" s="128"/>
      <c r="F736" s="128"/>
      <c r="G736" s="128"/>
      <c r="H736" s="21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</row>
    <row r="737" spans="1:26" ht="14.4" x14ac:dyDescent="0.3">
      <c r="A737" s="128"/>
      <c r="B737" s="218"/>
      <c r="C737" s="128"/>
      <c r="D737" s="128"/>
      <c r="E737" s="128"/>
      <c r="F737" s="128"/>
      <c r="G737" s="128"/>
      <c r="H737" s="21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</row>
    <row r="738" spans="1:26" ht="14.4" x14ac:dyDescent="0.3">
      <c r="A738" s="128"/>
      <c r="B738" s="218"/>
      <c r="C738" s="128"/>
      <c r="D738" s="128"/>
      <c r="E738" s="128"/>
      <c r="F738" s="128"/>
      <c r="G738" s="128"/>
      <c r="H738" s="21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</row>
    <row r="739" spans="1:26" ht="14.4" x14ac:dyDescent="0.3">
      <c r="A739" s="128"/>
      <c r="B739" s="218"/>
      <c r="C739" s="128"/>
      <c r="D739" s="128"/>
      <c r="E739" s="128"/>
      <c r="F739" s="128"/>
      <c r="G739" s="128"/>
      <c r="H739" s="21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</row>
    <row r="740" spans="1:26" ht="14.4" x14ac:dyDescent="0.3">
      <c r="A740" s="128"/>
      <c r="B740" s="218"/>
      <c r="C740" s="128"/>
      <c r="D740" s="128"/>
      <c r="E740" s="128"/>
      <c r="F740" s="128"/>
      <c r="G740" s="128"/>
      <c r="H740" s="21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</row>
    <row r="741" spans="1:26" ht="14.4" x14ac:dyDescent="0.3">
      <c r="A741" s="128"/>
      <c r="B741" s="218"/>
      <c r="C741" s="128"/>
      <c r="D741" s="128"/>
      <c r="E741" s="128"/>
      <c r="F741" s="128"/>
      <c r="G741" s="128"/>
      <c r="H741" s="21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</row>
    <row r="742" spans="1:26" ht="14.4" x14ac:dyDescent="0.3">
      <c r="A742" s="128"/>
      <c r="B742" s="218"/>
      <c r="C742" s="128"/>
      <c r="D742" s="128"/>
      <c r="E742" s="128"/>
      <c r="F742" s="128"/>
      <c r="G742" s="128"/>
      <c r="H742" s="21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</row>
    <row r="743" spans="1:26" ht="14.4" x14ac:dyDescent="0.3">
      <c r="A743" s="128"/>
      <c r="B743" s="218"/>
      <c r="C743" s="128"/>
      <c r="D743" s="128"/>
      <c r="E743" s="128"/>
      <c r="F743" s="128"/>
      <c r="G743" s="128"/>
      <c r="H743" s="21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</row>
    <row r="744" spans="1:26" ht="14.4" x14ac:dyDescent="0.3">
      <c r="A744" s="128"/>
      <c r="B744" s="218"/>
      <c r="C744" s="128"/>
      <c r="D744" s="128"/>
      <c r="E744" s="128"/>
      <c r="F744" s="128"/>
      <c r="G744" s="128"/>
      <c r="H744" s="21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</row>
    <row r="745" spans="1:26" ht="14.4" x14ac:dyDescent="0.3">
      <c r="A745" s="128"/>
      <c r="B745" s="218"/>
      <c r="C745" s="128"/>
      <c r="D745" s="128"/>
      <c r="E745" s="128"/>
      <c r="F745" s="128"/>
      <c r="G745" s="128"/>
      <c r="H745" s="21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</row>
    <row r="746" spans="1:26" ht="14.4" x14ac:dyDescent="0.3">
      <c r="A746" s="128"/>
      <c r="B746" s="218"/>
      <c r="C746" s="128"/>
      <c r="D746" s="128"/>
      <c r="E746" s="128"/>
      <c r="F746" s="128"/>
      <c r="G746" s="128"/>
      <c r="H746" s="21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</row>
    <row r="747" spans="1:26" ht="14.4" x14ac:dyDescent="0.3">
      <c r="A747" s="128"/>
      <c r="B747" s="218"/>
      <c r="C747" s="128"/>
      <c r="D747" s="128"/>
      <c r="E747" s="128"/>
      <c r="F747" s="128"/>
      <c r="G747" s="128"/>
      <c r="H747" s="21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</row>
    <row r="748" spans="1:26" ht="14.4" x14ac:dyDescent="0.3">
      <c r="A748" s="128"/>
      <c r="B748" s="218"/>
      <c r="C748" s="128"/>
      <c r="D748" s="128"/>
      <c r="E748" s="128"/>
      <c r="F748" s="128"/>
      <c r="G748" s="128"/>
      <c r="H748" s="21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</row>
    <row r="749" spans="1:26" ht="14.4" x14ac:dyDescent="0.3">
      <c r="A749" s="128"/>
      <c r="B749" s="218"/>
      <c r="C749" s="128"/>
      <c r="D749" s="128"/>
      <c r="E749" s="128"/>
      <c r="F749" s="128"/>
      <c r="G749" s="128"/>
      <c r="H749" s="21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</row>
    <row r="750" spans="1:26" ht="14.4" x14ac:dyDescent="0.3">
      <c r="A750" s="128"/>
      <c r="B750" s="218"/>
      <c r="C750" s="128"/>
      <c r="D750" s="128"/>
      <c r="E750" s="128"/>
      <c r="F750" s="128"/>
      <c r="G750" s="128"/>
      <c r="H750" s="21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</row>
    <row r="751" spans="1:26" ht="14.4" x14ac:dyDescent="0.3">
      <c r="A751" s="128"/>
      <c r="B751" s="218"/>
      <c r="C751" s="128"/>
      <c r="D751" s="128"/>
      <c r="E751" s="128"/>
      <c r="F751" s="128"/>
      <c r="G751" s="128"/>
      <c r="H751" s="21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</row>
    <row r="752" spans="1:26" ht="14.4" x14ac:dyDescent="0.3">
      <c r="A752" s="128"/>
      <c r="B752" s="218"/>
      <c r="C752" s="128"/>
      <c r="D752" s="128"/>
      <c r="E752" s="128"/>
      <c r="F752" s="128"/>
      <c r="G752" s="128"/>
      <c r="H752" s="21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</row>
    <row r="753" spans="1:26" ht="14.4" x14ac:dyDescent="0.3">
      <c r="A753" s="128"/>
      <c r="B753" s="218"/>
      <c r="C753" s="128"/>
      <c r="D753" s="128"/>
      <c r="E753" s="128"/>
      <c r="F753" s="128"/>
      <c r="G753" s="128"/>
      <c r="H753" s="21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</row>
    <row r="754" spans="1:26" ht="14.4" x14ac:dyDescent="0.3">
      <c r="A754" s="128"/>
      <c r="B754" s="218"/>
      <c r="C754" s="128"/>
      <c r="D754" s="128"/>
      <c r="E754" s="128"/>
      <c r="F754" s="128"/>
      <c r="G754" s="128"/>
      <c r="H754" s="21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</row>
    <row r="755" spans="1:26" ht="14.4" x14ac:dyDescent="0.3">
      <c r="A755" s="128"/>
      <c r="B755" s="218"/>
      <c r="C755" s="128"/>
      <c r="D755" s="128"/>
      <c r="E755" s="128"/>
      <c r="F755" s="128"/>
      <c r="G755" s="128"/>
      <c r="H755" s="21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</row>
    <row r="756" spans="1:26" ht="14.4" x14ac:dyDescent="0.3">
      <c r="A756" s="128"/>
      <c r="B756" s="218"/>
      <c r="C756" s="128"/>
      <c r="D756" s="128"/>
      <c r="E756" s="128"/>
      <c r="F756" s="128"/>
      <c r="G756" s="128"/>
      <c r="H756" s="21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</row>
    <row r="757" spans="1:26" ht="14.4" x14ac:dyDescent="0.3">
      <c r="A757" s="128"/>
      <c r="B757" s="218"/>
      <c r="C757" s="128"/>
      <c r="D757" s="128"/>
      <c r="E757" s="128"/>
      <c r="F757" s="128"/>
      <c r="G757" s="128"/>
      <c r="H757" s="21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</row>
    <row r="758" spans="1:26" ht="14.4" x14ac:dyDescent="0.3">
      <c r="A758" s="128"/>
      <c r="B758" s="218"/>
      <c r="C758" s="128"/>
      <c r="D758" s="128"/>
      <c r="E758" s="128"/>
      <c r="F758" s="128"/>
      <c r="G758" s="128"/>
      <c r="H758" s="21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</row>
    <row r="759" spans="1:26" ht="14.4" x14ac:dyDescent="0.3">
      <c r="A759" s="128"/>
      <c r="B759" s="218"/>
      <c r="C759" s="128"/>
      <c r="D759" s="128"/>
      <c r="E759" s="128"/>
      <c r="F759" s="128"/>
      <c r="G759" s="128"/>
      <c r="H759" s="21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</row>
    <row r="760" spans="1:26" ht="14.4" x14ac:dyDescent="0.3">
      <c r="A760" s="128"/>
      <c r="B760" s="218"/>
      <c r="C760" s="128"/>
      <c r="D760" s="128"/>
      <c r="E760" s="128"/>
      <c r="F760" s="128"/>
      <c r="G760" s="128"/>
      <c r="H760" s="21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</row>
    <row r="761" spans="1:26" ht="14.4" x14ac:dyDescent="0.3">
      <c r="A761" s="128"/>
      <c r="B761" s="218"/>
      <c r="C761" s="128"/>
      <c r="D761" s="128"/>
      <c r="E761" s="128"/>
      <c r="F761" s="128"/>
      <c r="G761" s="128"/>
      <c r="H761" s="21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</row>
    <row r="762" spans="1:26" ht="14.4" x14ac:dyDescent="0.3">
      <c r="A762" s="128"/>
      <c r="B762" s="218"/>
      <c r="C762" s="128"/>
      <c r="D762" s="128"/>
      <c r="E762" s="128"/>
      <c r="F762" s="128"/>
      <c r="G762" s="128"/>
      <c r="H762" s="21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</row>
    <row r="763" spans="1:26" ht="14.4" x14ac:dyDescent="0.3">
      <c r="A763" s="128"/>
      <c r="B763" s="218"/>
      <c r="C763" s="128"/>
      <c r="D763" s="128"/>
      <c r="E763" s="128"/>
      <c r="F763" s="128"/>
      <c r="G763" s="128"/>
      <c r="H763" s="21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</row>
    <row r="764" spans="1:26" ht="14.4" x14ac:dyDescent="0.3">
      <c r="A764" s="128"/>
      <c r="B764" s="218"/>
      <c r="C764" s="128"/>
      <c r="D764" s="128"/>
      <c r="E764" s="128"/>
      <c r="F764" s="128"/>
      <c r="G764" s="128"/>
      <c r="H764" s="21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</row>
    <row r="765" spans="1:26" ht="14.4" x14ac:dyDescent="0.3">
      <c r="A765" s="128"/>
      <c r="B765" s="218"/>
      <c r="C765" s="128"/>
      <c r="D765" s="128"/>
      <c r="E765" s="128"/>
      <c r="F765" s="128"/>
      <c r="G765" s="128"/>
      <c r="H765" s="21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</row>
    <row r="766" spans="1:26" ht="14.4" x14ac:dyDescent="0.3">
      <c r="A766" s="128"/>
      <c r="B766" s="218"/>
      <c r="C766" s="128"/>
      <c r="D766" s="128"/>
      <c r="E766" s="128"/>
      <c r="F766" s="128"/>
      <c r="G766" s="128"/>
      <c r="H766" s="21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</row>
    <row r="767" spans="1:26" ht="14.4" x14ac:dyDescent="0.3">
      <c r="A767" s="128"/>
      <c r="B767" s="218"/>
      <c r="C767" s="128"/>
      <c r="D767" s="128"/>
      <c r="E767" s="128"/>
      <c r="F767" s="128"/>
      <c r="G767" s="128"/>
      <c r="H767" s="21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</row>
    <row r="768" spans="1:26" ht="14.4" x14ac:dyDescent="0.3">
      <c r="A768" s="128"/>
      <c r="B768" s="218"/>
      <c r="C768" s="128"/>
      <c r="D768" s="128"/>
      <c r="E768" s="128"/>
      <c r="F768" s="128"/>
      <c r="G768" s="128"/>
      <c r="H768" s="21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</row>
    <row r="769" spans="1:26" ht="14.4" x14ac:dyDescent="0.3">
      <c r="A769" s="128"/>
      <c r="B769" s="218"/>
      <c r="C769" s="128"/>
      <c r="D769" s="128"/>
      <c r="E769" s="128"/>
      <c r="F769" s="128"/>
      <c r="G769" s="128"/>
      <c r="H769" s="21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</row>
    <row r="770" spans="1:26" ht="14.4" x14ac:dyDescent="0.3">
      <c r="A770" s="128"/>
      <c r="B770" s="218"/>
      <c r="C770" s="128"/>
      <c r="D770" s="128"/>
      <c r="E770" s="128"/>
      <c r="F770" s="128"/>
      <c r="G770" s="128"/>
      <c r="H770" s="21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</row>
    <row r="771" spans="1:26" ht="14.4" x14ac:dyDescent="0.3">
      <c r="A771" s="128"/>
      <c r="B771" s="218"/>
      <c r="C771" s="128"/>
      <c r="D771" s="128"/>
      <c r="E771" s="128"/>
      <c r="F771" s="128"/>
      <c r="G771" s="128"/>
      <c r="H771" s="21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</row>
    <row r="772" spans="1:26" ht="14.4" x14ac:dyDescent="0.3">
      <c r="A772" s="128"/>
      <c r="B772" s="218"/>
      <c r="C772" s="128"/>
      <c r="D772" s="128"/>
      <c r="E772" s="128"/>
      <c r="F772" s="128"/>
      <c r="G772" s="128"/>
      <c r="H772" s="21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</row>
    <row r="773" spans="1:26" ht="14.4" x14ac:dyDescent="0.3">
      <c r="A773" s="128"/>
      <c r="B773" s="218"/>
      <c r="C773" s="128"/>
      <c r="D773" s="128"/>
      <c r="E773" s="128"/>
      <c r="F773" s="128"/>
      <c r="G773" s="128"/>
      <c r="H773" s="21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</row>
    <row r="774" spans="1:26" ht="14.4" x14ac:dyDescent="0.3">
      <c r="A774" s="128"/>
      <c r="B774" s="218"/>
      <c r="C774" s="128"/>
      <c r="D774" s="128"/>
      <c r="E774" s="128"/>
      <c r="F774" s="128"/>
      <c r="G774" s="128"/>
      <c r="H774" s="21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</row>
    <row r="775" spans="1:26" ht="14.4" x14ac:dyDescent="0.3">
      <c r="A775" s="128"/>
      <c r="B775" s="218"/>
      <c r="C775" s="128"/>
      <c r="D775" s="128"/>
      <c r="E775" s="128"/>
      <c r="F775" s="128"/>
      <c r="G775" s="128"/>
      <c r="H775" s="21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</row>
    <row r="776" spans="1:26" ht="14.4" x14ac:dyDescent="0.3">
      <c r="A776" s="128"/>
      <c r="B776" s="218"/>
      <c r="C776" s="128"/>
      <c r="D776" s="128"/>
      <c r="E776" s="128"/>
      <c r="F776" s="128"/>
      <c r="G776" s="128"/>
      <c r="H776" s="21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</row>
    <row r="777" spans="1:26" ht="14.4" x14ac:dyDescent="0.3">
      <c r="A777" s="128"/>
      <c r="B777" s="218"/>
      <c r="C777" s="128"/>
      <c r="D777" s="128"/>
      <c r="E777" s="128"/>
      <c r="F777" s="128"/>
      <c r="G777" s="128"/>
      <c r="H777" s="21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</row>
    <row r="778" spans="1:26" ht="14.4" x14ac:dyDescent="0.3">
      <c r="A778" s="128"/>
      <c r="B778" s="218"/>
      <c r="C778" s="128"/>
      <c r="D778" s="128"/>
      <c r="E778" s="128"/>
      <c r="F778" s="128"/>
      <c r="G778" s="128"/>
      <c r="H778" s="21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</row>
    <row r="779" spans="1:26" ht="14.4" x14ac:dyDescent="0.3">
      <c r="A779" s="128"/>
      <c r="B779" s="218"/>
      <c r="C779" s="128"/>
      <c r="D779" s="128"/>
      <c r="E779" s="128"/>
      <c r="F779" s="128"/>
      <c r="G779" s="128"/>
      <c r="H779" s="21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</row>
    <row r="780" spans="1:26" ht="14.4" x14ac:dyDescent="0.3">
      <c r="A780" s="128"/>
      <c r="B780" s="218"/>
      <c r="C780" s="128"/>
      <c r="D780" s="128"/>
      <c r="E780" s="128"/>
      <c r="F780" s="128"/>
      <c r="G780" s="128"/>
      <c r="H780" s="21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</row>
    <row r="781" spans="1:26" ht="14.4" x14ac:dyDescent="0.3">
      <c r="A781" s="128"/>
      <c r="B781" s="218"/>
      <c r="C781" s="128"/>
      <c r="D781" s="128"/>
      <c r="E781" s="128"/>
      <c r="F781" s="128"/>
      <c r="G781" s="128"/>
      <c r="H781" s="21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</row>
    <row r="782" spans="1:26" ht="14.4" x14ac:dyDescent="0.3">
      <c r="A782" s="128"/>
      <c r="B782" s="218"/>
      <c r="C782" s="128"/>
      <c r="D782" s="128"/>
      <c r="E782" s="128"/>
      <c r="F782" s="128"/>
      <c r="G782" s="128"/>
      <c r="H782" s="21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</row>
    <row r="783" spans="1:26" ht="14.4" x14ac:dyDescent="0.3">
      <c r="A783" s="128"/>
      <c r="B783" s="218"/>
      <c r="C783" s="128"/>
      <c r="D783" s="128"/>
      <c r="E783" s="128"/>
      <c r="F783" s="128"/>
      <c r="G783" s="128"/>
      <c r="H783" s="21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</row>
    <row r="784" spans="1:26" ht="14.4" x14ac:dyDescent="0.3">
      <c r="A784" s="128"/>
      <c r="B784" s="218"/>
      <c r="C784" s="128"/>
      <c r="D784" s="128"/>
      <c r="E784" s="128"/>
      <c r="F784" s="128"/>
      <c r="G784" s="128"/>
      <c r="H784" s="21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</row>
    <row r="785" spans="1:26" ht="14.4" x14ac:dyDescent="0.3">
      <c r="A785" s="128"/>
      <c r="B785" s="218"/>
      <c r="C785" s="128"/>
      <c r="D785" s="128"/>
      <c r="E785" s="128"/>
      <c r="F785" s="128"/>
      <c r="G785" s="128"/>
      <c r="H785" s="21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</row>
    <row r="786" spans="1:26" ht="14.4" x14ac:dyDescent="0.3">
      <c r="A786" s="128"/>
      <c r="B786" s="218"/>
      <c r="C786" s="128"/>
      <c r="D786" s="128"/>
      <c r="E786" s="128"/>
      <c r="F786" s="128"/>
      <c r="G786" s="128"/>
      <c r="H786" s="21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</row>
    <row r="787" spans="1:26" ht="14.4" x14ac:dyDescent="0.3">
      <c r="A787" s="128"/>
      <c r="B787" s="218"/>
      <c r="C787" s="128"/>
      <c r="D787" s="128"/>
      <c r="E787" s="128"/>
      <c r="F787" s="128"/>
      <c r="G787" s="128"/>
      <c r="H787" s="21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</row>
    <row r="788" spans="1:26" ht="14.4" x14ac:dyDescent="0.3">
      <c r="A788" s="128"/>
      <c r="B788" s="218"/>
      <c r="C788" s="128"/>
      <c r="D788" s="128"/>
      <c r="E788" s="128"/>
      <c r="F788" s="128"/>
      <c r="G788" s="128"/>
      <c r="H788" s="21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</row>
    <row r="789" spans="1:26" ht="14.4" x14ac:dyDescent="0.3">
      <c r="A789" s="128"/>
      <c r="B789" s="218"/>
      <c r="C789" s="128"/>
      <c r="D789" s="128"/>
      <c r="E789" s="128"/>
      <c r="F789" s="128"/>
      <c r="G789" s="128"/>
      <c r="H789" s="21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</row>
    <row r="790" spans="1:26" ht="14.4" x14ac:dyDescent="0.3">
      <c r="A790" s="128"/>
      <c r="B790" s="218"/>
      <c r="C790" s="128"/>
      <c r="D790" s="128"/>
      <c r="E790" s="128"/>
      <c r="F790" s="128"/>
      <c r="G790" s="128"/>
      <c r="H790" s="21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</row>
    <row r="791" spans="1:26" ht="14.4" x14ac:dyDescent="0.3">
      <c r="A791" s="128"/>
      <c r="B791" s="218"/>
      <c r="C791" s="128"/>
      <c r="D791" s="128"/>
      <c r="E791" s="128"/>
      <c r="F791" s="128"/>
      <c r="G791" s="128"/>
      <c r="H791" s="21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</row>
    <row r="792" spans="1:26" ht="14.4" x14ac:dyDescent="0.3">
      <c r="A792" s="128"/>
      <c r="B792" s="218"/>
      <c r="C792" s="128"/>
      <c r="D792" s="128"/>
      <c r="E792" s="128"/>
      <c r="F792" s="128"/>
      <c r="G792" s="128"/>
      <c r="H792" s="21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</row>
    <row r="793" spans="1:26" ht="14.4" x14ac:dyDescent="0.3">
      <c r="A793" s="128"/>
      <c r="B793" s="218"/>
      <c r="C793" s="128"/>
      <c r="D793" s="128"/>
      <c r="E793" s="128"/>
      <c r="F793" s="128"/>
      <c r="G793" s="128"/>
      <c r="H793" s="21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</row>
    <row r="794" spans="1:26" ht="14.4" x14ac:dyDescent="0.3">
      <c r="A794" s="128"/>
      <c r="B794" s="218"/>
      <c r="C794" s="128"/>
      <c r="D794" s="128"/>
      <c r="E794" s="128"/>
      <c r="F794" s="128"/>
      <c r="G794" s="128"/>
      <c r="H794" s="21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</row>
    <row r="795" spans="1:26" ht="14.4" x14ac:dyDescent="0.3">
      <c r="A795" s="128"/>
      <c r="B795" s="218"/>
      <c r="C795" s="128"/>
      <c r="D795" s="128"/>
      <c r="E795" s="128"/>
      <c r="F795" s="128"/>
      <c r="G795" s="128"/>
      <c r="H795" s="21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</row>
    <row r="796" spans="1:26" ht="14.4" x14ac:dyDescent="0.3">
      <c r="A796" s="128"/>
      <c r="B796" s="218"/>
      <c r="C796" s="128"/>
      <c r="D796" s="128"/>
      <c r="E796" s="128"/>
      <c r="F796" s="128"/>
      <c r="G796" s="128"/>
      <c r="H796" s="21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</row>
    <row r="797" spans="1:26" ht="14.4" x14ac:dyDescent="0.3">
      <c r="A797" s="128"/>
      <c r="B797" s="218"/>
      <c r="C797" s="128"/>
      <c r="D797" s="128"/>
      <c r="E797" s="128"/>
      <c r="F797" s="128"/>
      <c r="G797" s="128"/>
      <c r="H797" s="21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</row>
    <row r="798" spans="1:26" ht="14.4" x14ac:dyDescent="0.3">
      <c r="A798" s="128"/>
      <c r="B798" s="218"/>
      <c r="C798" s="128"/>
      <c r="D798" s="128"/>
      <c r="E798" s="128"/>
      <c r="F798" s="128"/>
      <c r="G798" s="128"/>
      <c r="H798" s="21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</row>
    <row r="799" spans="1:26" ht="14.4" x14ac:dyDescent="0.3">
      <c r="A799" s="128"/>
      <c r="B799" s="218"/>
      <c r="C799" s="128"/>
      <c r="D799" s="128"/>
      <c r="E799" s="128"/>
      <c r="F799" s="128"/>
      <c r="G799" s="128"/>
      <c r="H799" s="21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</row>
    <row r="800" spans="1:26" ht="14.4" x14ac:dyDescent="0.3">
      <c r="A800" s="128"/>
      <c r="B800" s="218"/>
      <c r="C800" s="128"/>
      <c r="D800" s="128"/>
      <c r="E800" s="128"/>
      <c r="F800" s="128"/>
      <c r="G800" s="128"/>
      <c r="H800" s="21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</row>
    <row r="801" spans="1:26" ht="14.4" x14ac:dyDescent="0.3">
      <c r="A801" s="128"/>
      <c r="B801" s="218"/>
      <c r="C801" s="128"/>
      <c r="D801" s="128"/>
      <c r="E801" s="128"/>
      <c r="F801" s="128"/>
      <c r="G801" s="128"/>
      <c r="H801" s="21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</row>
    <row r="802" spans="1:26" ht="14.4" x14ac:dyDescent="0.3">
      <c r="A802" s="128"/>
      <c r="B802" s="218"/>
      <c r="C802" s="128"/>
      <c r="D802" s="128"/>
      <c r="E802" s="128"/>
      <c r="F802" s="128"/>
      <c r="G802" s="128"/>
      <c r="H802" s="21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</row>
    <row r="803" spans="1:26" ht="14.4" x14ac:dyDescent="0.3">
      <c r="A803" s="128"/>
      <c r="B803" s="218"/>
      <c r="C803" s="128"/>
      <c r="D803" s="128"/>
      <c r="E803" s="128"/>
      <c r="F803" s="128"/>
      <c r="G803" s="128"/>
      <c r="H803" s="21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</row>
    <row r="804" spans="1:26" ht="14.4" x14ac:dyDescent="0.3">
      <c r="A804" s="128"/>
      <c r="B804" s="218"/>
      <c r="C804" s="128"/>
      <c r="D804" s="128"/>
      <c r="E804" s="128"/>
      <c r="F804" s="128"/>
      <c r="G804" s="128"/>
      <c r="H804" s="21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</row>
    <row r="805" spans="1:26" ht="14.4" x14ac:dyDescent="0.3">
      <c r="A805" s="128"/>
      <c r="B805" s="218"/>
      <c r="C805" s="128"/>
      <c r="D805" s="128"/>
      <c r="E805" s="128"/>
      <c r="F805" s="128"/>
      <c r="G805" s="128"/>
      <c r="H805" s="21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</row>
    <row r="806" spans="1:26" ht="14.4" x14ac:dyDescent="0.3">
      <c r="A806" s="128"/>
      <c r="B806" s="218"/>
      <c r="C806" s="128"/>
      <c r="D806" s="128"/>
      <c r="E806" s="128"/>
      <c r="F806" s="128"/>
      <c r="G806" s="128"/>
      <c r="H806" s="21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</row>
    <row r="807" spans="1:26" ht="14.4" x14ac:dyDescent="0.3">
      <c r="A807" s="128"/>
      <c r="B807" s="218"/>
      <c r="C807" s="128"/>
      <c r="D807" s="128"/>
      <c r="E807" s="128"/>
      <c r="F807" s="128"/>
      <c r="G807" s="128"/>
      <c r="H807" s="21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</row>
    <row r="808" spans="1:26" ht="14.4" x14ac:dyDescent="0.3">
      <c r="A808" s="128"/>
      <c r="B808" s="218"/>
      <c r="C808" s="128"/>
      <c r="D808" s="128"/>
      <c r="E808" s="128"/>
      <c r="F808" s="128"/>
      <c r="G808" s="128"/>
      <c r="H808" s="21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</row>
    <row r="809" spans="1:26" ht="14.4" x14ac:dyDescent="0.3">
      <c r="A809" s="128"/>
      <c r="B809" s="218"/>
      <c r="C809" s="128"/>
      <c r="D809" s="128"/>
      <c r="E809" s="128"/>
      <c r="F809" s="128"/>
      <c r="G809" s="128"/>
      <c r="H809" s="21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</row>
    <row r="810" spans="1:26" ht="14.4" x14ac:dyDescent="0.3">
      <c r="A810" s="128"/>
      <c r="B810" s="218"/>
      <c r="C810" s="128"/>
      <c r="D810" s="128"/>
      <c r="E810" s="128"/>
      <c r="F810" s="128"/>
      <c r="G810" s="128"/>
      <c r="H810" s="21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</row>
    <row r="811" spans="1:26" ht="14.4" x14ac:dyDescent="0.3">
      <c r="A811" s="128"/>
      <c r="B811" s="218"/>
      <c r="C811" s="128"/>
      <c r="D811" s="128"/>
      <c r="E811" s="128"/>
      <c r="F811" s="128"/>
      <c r="G811" s="128"/>
      <c r="H811" s="21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</row>
    <row r="812" spans="1:26" ht="14.4" x14ac:dyDescent="0.3">
      <c r="A812" s="128"/>
      <c r="B812" s="218"/>
      <c r="C812" s="128"/>
      <c r="D812" s="128"/>
      <c r="E812" s="128"/>
      <c r="F812" s="128"/>
      <c r="G812" s="128"/>
      <c r="H812" s="21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</row>
    <row r="813" spans="1:26" ht="14.4" x14ac:dyDescent="0.3">
      <c r="A813" s="128"/>
      <c r="B813" s="218"/>
      <c r="C813" s="128"/>
      <c r="D813" s="128"/>
      <c r="E813" s="128"/>
      <c r="F813" s="128"/>
      <c r="G813" s="128"/>
      <c r="H813" s="21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</row>
    <row r="814" spans="1:26" ht="14.4" x14ac:dyDescent="0.3">
      <c r="A814" s="128"/>
      <c r="B814" s="218"/>
      <c r="C814" s="128"/>
      <c r="D814" s="128"/>
      <c r="E814" s="128"/>
      <c r="F814" s="128"/>
      <c r="G814" s="128"/>
      <c r="H814" s="21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</row>
    <row r="815" spans="1:26" ht="14.4" x14ac:dyDescent="0.3">
      <c r="A815" s="128"/>
      <c r="B815" s="218"/>
      <c r="C815" s="128"/>
      <c r="D815" s="128"/>
      <c r="E815" s="128"/>
      <c r="F815" s="128"/>
      <c r="G815" s="128"/>
      <c r="H815" s="21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</row>
    <row r="816" spans="1:26" ht="14.4" x14ac:dyDescent="0.3">
      <c r="A816" s="128"/>
      <c r="B816" s="218"/>
      <c r="C816" s="128"/>
      <c r="D816" s="128"/>
      <c r="E816" s="128"/>
      <c r="F816" s="128"/>
      <c r="G816" s="128"/>
      <c r="H816" s="21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</row>
    <row r="817" spans="1:26" ht="14.4" x14ac:dyDescent="0.3">
      <c r="A817" s="128"/>
      <c r="B817" s="218"/>
      <c r="C817" s="128"/>
      <c r="D817" s="128"/>
      <c r="E817" s="128"/>
      <c r="F817" s="128"/>
      <c r="G817" s="128"/>
      <c r="H817" s="21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</row>
    <row r="818" spans="1:26" ht="14.4" x14ac:dyDescent="0.3">
      <c r="A818" s="128"/>
      <c r="B818" s="218"/>
      <c r="C818" s="128"/>
      <c r="D818" s="128"/>
      <c r="E818" s="128"/>
      <c r="F818" s="128"/>
      <c r="G818" s="128"/>
      <c r="H818" s="21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</row>
    <row r="819" spans="1:26" ht="14.4" x14ac:dyDescent="0.3">
      <c r="A819" s="128"/>
      <c r="B819" s="218"/>
      <c r="C819" s="128"/>
      <c r="D819" s="128"/>
      <c r="E819" s="128"/>
      <c r="F819" s="128"/>
      <c r="G819" s="128"/>
      <c r="H819" s="21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</row>
    <row r="820" spans="1:26" ht="14.4" x14ac:dyDescent="0.3">
      <c r="A820" s="128"/>
      <c r="B820" s="218"/>
      <c r="C820" s="128"/>
      <c r="D820" s="128"/>
      <c r="E820" s="128"/>
      <c r="F820" s="128"/>
      <c r="G820" s="128"/>
      <c r="H820" s="21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</row>
    <row r="821" spans="1:26" ht="14.4" x14ac:dyDescent="0.3">
      <c r="A821" s="128"/>
      <c r="B821" s="218"/>
      <c r="C821" s="128"/>
      <c r="D821" s="128"/>
      <c r="E821" s="128"/>
      <c r="F821" s="128"/>
      <c r="G821" s="128"/>
      <c r="H821" s="21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</row>
    <row r="822" spans="1:26" ht="14.4" x14ac:dyDescent="0.3">
      <c r="A822" s="128"/>
      <c r="B822" s="218"/>
      <c r="C822" s="128"/>
      <c r="D822" s="128"/>
      <c r="E822" s="128"/>
      <c r="F822" s="128"/>
      <c r="G822" s="128"/>
      <c r="H822" s="21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</row>
    <row r="823" spans="1:26" ht="14.4" x14ac:dyDescent="0.3">
      <c r="A823" s="128"/>
      <c r="B823" s="218"/>
      <c r="C823" s="128"/>
      <c r="D823" s="128"/>
      <c r="E823" s="128"/>
      <c r="F823" s="128"/>
      <c r="G823" s="128"/>
      <c r="H823" s="21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</row>
    <row r="824" spans="1:26" ht="14.4" x14ac:dyDescent="0.3">
      <c r="A824" s="128"/>
      <c r="B824" s="218"/>
      <c r="C824" s="128"/>
      <c r="D824" s="128"/>
      <c r="E824" s="128"/>
      <c r="F824" s="128"/>
      <c r="G824" s="128"/>
      <c r="H824" s="21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</row>
    <row r="825" spans="1:26" ht="14.4" x14ac:dyDescent="0.3">
      <c r="A825" s="128"/>
      <c r="B825" s="218"/>
      <c r="C825" s="128"/>
      <c r="D825" s="128"/>
      <c r="E825" s="128"/>
      <c r="F825" s="128"/>
      <c r="G825" s="128"/>
      <c r="H825" s="21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</row>
    <row r="826" spans="1:26" ht="14.4" x14ac:dyDescent="0.3">
      <c r="A826" s="128"/>
      <c r="B826" s="218"/>
      <c r="C826" s="128"/>
      <c r="D826" s="128"/>
      <c r="E826" s="128"/>
      <c r="F826" s="128"/>
      <c r="G826" s="128"/>
      <c r="H826" s="21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</row>
    <row r="827" spans="1:26" ht="14.4" x14ac:dyDescent="0.3">
      <c r="A827" s="128"/>
      <c r="B827" s="218"/>
      <c r="C827" s="128"/>
      <c r="D827" s="128"/>
      <c r="E827" s="128"/>
      <c r="F827" s="128"/>
      <c r="G827" s="128"/>
      <c r="H827" s="21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</row>
    <row r="828" spans="1:26" ht="14.4" x14ac:dyDescent="0.3">
      <c r="A828" s="128"/>
      <c r="B828" s="218"/>
      <c r="C828" s="128"/>
      <c r="D828" s="128"/>
      <c r="E828" s="128"/>
      <c r="F828" s="128"/>
      <c r="G828" s="128"/>
      <c r="H828" s="21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</row>
    <row r="829" spans="1:26" ht="14.4" x14ac:dyDescent="0.3">
      <c r="A829" s="128"/>
      <c r="B829" s="218"/>
      <c r="C829" s="128"/>
      <c r="D829" s="128"/>
      <c r="E829" s="128"/>
      <c r="F829" s="128"/>
      <c r="G829" s="128"/>
      <c r="H829" s="21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</row>
    <row r="830" spans="1:26" ht="14.4" x14ac:dyDescent="0.3">
      <c r="A830" s="128"/>
      <c r="B830" s="218"/>
      <c r="C830" s="128"/>
      <c r="D830" s="128"/>
      <c r="E830" s="128"/>
      <c r="F830" s="128"/>
      <c r="G830" s="128"/>
      <c r="H830" s="21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</row>
    <row r="831" spans="1:26" ht="14.4" x14ac:dyDescent="0.3">
      <c r="A831" s="128"/>
      <c r="B831" s="218"/>
      <c r="C831" s="128"/>
      <c r="D831" s="128"/>
      <c r="E831" s="128"/>
      <c r="F831" s="128"/>
      <c r="G831" s="128"/>
      <c r="H831" s="21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</row>
    <row r="832" spans="1:26" ht="14.4" x14ac:dyDescent="0.3">
      <c r="A832" s="128"/>
      <c r="B832" s="218"/>
      <c r="C832" s="128"/>
      <c r="D832" s="128"/>
      <c r="E832" s="128"/>
      <c r="F832" s="128"/>
      <c r="G832" s="128"/>
      <c r="H832" s="21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</row>
    <row r="833" spans="1:26" ht="14.4" x14ac:dyDescent="0.3">
      <c r="A833" s="128"/>
      <c r="B833" s="218"/>
      <c r="C833" s="128"/>
      <c r="D833" s="128"/>
      <c r="E833" s="128"/>
      <c r="F833" s="128"/>
      <c r="G833" s="128"/>
      <c r="H833" s="21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</row>
    <row r="834" spans="1:26" ht="14.4" x14ac:dyDescent="0.3">
      <c r="A834" s="128"/>
      <c r="B834" s="218"/>
      <c r="C834" s="128"/>
      <c r="D834" s="128"/>
      <c r="E834" s="128"/>
      <c r="F834" s="128"/>
      <c r="G834" s="128"/>
      <c r="H834" s="21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</row>
    <row r="835" spans="1:26" ht="14.4" x14ac:dyDescent="0.3">
      <c r="A835" s="128"/>
      <c r="B835" s="218"/>
      <c r="C835" s="128"/>
      <c r="D835" s="128"/>
      <c r="E835" s="128"/>
      <c r="F835" s="128"/>
      <c r="G835" s="128"/>
      <c r="H835" s="21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</row>
    <row r="836" spans="1:26" ht="14.4" x14ac:dyDescent="0.3">
      <c r="A836" s="128"/>
      <c r="B836" s="218"/>
      <c r="C836" s="128"/>
      <c r="D836" s="128"/>
      <c r="E836" s="128"/>
      <c r="F836" s="128"/>
      <c r="G836" s="128"/>
      <c r="H836" s="21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</row>
    <row r="837" spans="1:26" ht="14.4" x14ac:dyDescent="0.3">
      <c r="A837" s="128"/>
      <c r="B837" s="218"/>
      <c r="C837" s="128"/>
      <c r="D837" s="128"/>
      <c r="E837" s="128"/>
      <c r="F837" s="128"/>
      <c r="G837" s="128"/>
      <c r="H837" s="21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</row>
    <row r="838" spans="1:26" ht="14.4" x14ac:dyDescent="0.3">
      <c r="A838" s="128"/>
      <c r="B838" s="218"/>
      <c r="C838" s="128"/>
      <c r="D838" s="128"/>
      <c r="E838" s="128"/>
      <c r="F838" s="128"/>
      <c r="G838" s="128"/>
      <c r="H838" s="21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</row>
    <row r="839" spans="1:26" ht="14.4" x14ac:dyDescent="0.3">
      <c r="A839" s="128"/>
      <c r="B839" s="218"/>
      <c r="C839" s="128"/>
      <c r="D839" s="128"/>
      <c r="E839" s="128"/>
      <c r="F839" s="128"/>
      <c r="G839" s="128"/>
      <c r="H839" s="21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</row>
    <row r="840" spans="1:26" ht="14.4" x14ac:dyDescent="0.3">
      <c r="A840" s="128"/>
      <c r="B840" s="218"/>
      <c r="C840" s="128"/>
      <c r="D840" s="128"/>
      <c r="E840" s="128"/>
      <c r="F840" s="128"/>
      <c r="G840" s="128"/>
      <c r="H840" s="21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</row>
    <row r="841" spans="1:26" ht="14.4" x14ac:dyDescent="0.3">
      <c r="A841" s="128"/>
      <c r="B841" s="218"/>
      <c r="C841" s="128"/>
      <c r="D841" s="128"/>
      <c r="E841" s="128"/>
      <c r="F841" s="128"/>
      <c r="G841" s="128"/>
      <c r="H841" s="21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</row>
    <row r="842" spans="1:26" ht="14.4" x14ac:dyDescent="0.3">
      <c r="A842" s="128"/>
      <c r="B842" s="218"/>
      <c r="C842" s="128"/>
      <c r="D842" s="128"/>
      <c r="E842" s="128"/>
      <c r="F842" s="128"/>
      <c r="G842" s="128"/>
      <c r="H842" s="21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</row>
    <row r="843" spans="1:26" ht="14.4" x14ac:dyDescent="0.3">
      <c r="A843" s="128"/>
      <c r="B843" s="218"/>
      <c r="C843" s="128"/>
      <c r="D843" s="128"/>
      <c r="E843" s="128"/>
      <c r="F843" s="128"/>
      <c r="G843" s="128"/>
      <c r="H843" s="21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</row>
    <row r="844" spans="1:26" ht="14.4" x14ac:dyDescent="0.3">
      <c r="A844" s="128"/>
      <c r="B844" s="218"/>
      <c r="C844" s="128"/>
      <c r="D844" s="128"/>
      <c r="E844" s="128"/>
      <c r="F844" s="128"/>
      <c r="G844" s="128"/>
      <c r="H844" s="21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</row>
    <row r="845" spans="1:26" ht="14.4" x14ac:dyDescent="0.3">
      <c r="A845" s="128"/>
      <c r="B845" s="218"/>
      <c r="C845" s="128"/>
      <c r="D845" s="128"/>
      <c r="E845" s="128"/>
      <c r="F845" s="128"/>
      <c r="G845" s="128"/>
      <c r="H845" s="21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</row>
    <row r="846" spans="1:26" ht="14.4" x14ac:dyDescent="0.3">
      <c r="A846" s="128"/>
      <c r="B846" s="218"/>
      <c r="C846" s="128"/>
      <c r="D846" s="128"/>
      <c r="E846" s="128"/>
      <c r="F846" s="128"/>
      <c r="G846" s="128"/>
      <c r="H846" s="21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</row>
    <row r="847" spans="1:26" ht="14.4" x14ac:dyDescent="0.3">
      <c r="A847" s="128"/>
      <c r="B847" s="218"/>
      <c r="C847" s="128"/>
      <c r="D847" s="128"/>
      <c r="E847" s="128"/>
      <c r="F847" s="128"/>
      <c r="G847" s="128"/>
      <c r="H847" s="21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</row>
    <row r="848" spans="1:26" ht="14.4" x14ac:dyDescent="0.3">
      <c r="A848" s="128"/>
      <c r="B848" s="218"/>
      <c r="C848" s="128"/>
      <c r="D848" s="128"/>
      <c r="E848" s="128"/>
      <c r="F848" s="128"/>
      <c r="G848" s="128"/>
      <c r="H848" s="21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</row>
    <row r="849" spans="1:26" ht="14.4" x14ac:dyDescent="0.3">
      <c r="A849" s="128"/>
      <c r="B849" s="218"/>
      <c r="C849" s="128"/>
      <c r="D849" s="128"/>
      <c r="E849" s="128"/>
      <c r="F849" s="128"/>
      <c r="G849" s="128"/>
      <c r="H849" s="21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</row>
    <row r="850" spans="1:26" ht="14.4" x14ac:dyDescent="0.3">
      <c r="A850" s="128"/>
      <c r="B850" s="218"/>
      <c r="C850" s="128"/>
      <c r="D850" s="128"/>
      <c r="E850" s="128"/>
      <c r="F850" s="128"/>
      <c r="G850" s="128"/>
      <c r="H850" s="21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</row>
    <row r="851" spans="1:26" ht="14.4" x14ac:dyDescent="0.3">
      <c r="A851" s="128"/>
      <c r="B851" s="218"/>
      <c r="C851" s="128"/>
      <c r="D851" s="128"/>
      <c r="E851" s="128"/>
      <c r="F851" s="128"/>
      <c r="G851" s="128"/>
      <c r="H851" s="21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</row>
    <row r="852" spans="1:26" ht="14.4" x14ac:dyDescent="0.3">
      <c r="A852" s="128"/>
      <c r="B852" s="218"/>
      <c r="C852" s="128"/>
      <c r="D852" s="128"/>
      <c r="E852" s="128"/>
      <c r="F852" s="128"/>
      <c r="G852" s="128"/>
      <c r="H852" s="21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</row>
    <row r="853" spans="1:26" ht="14.4" x14ac:dyDescent="0.3">
      <c r="A853" s="128"/>
      <c r="B853" s="218"/>
      <c r="C853" s="128"/>
      <c r="D853" s="128"/>
      <c r="E853" s="128"/>
      <c r="F853" s="128"/>
      <c r="G853" s="128"/>
      <c r="H853" s="21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</row>
    <row r="854" spans="1:26" ht="14.4" x14ac:dyDescent="0.3">
      <c r="A854" s="128"/>
      <c r="B854" s="218"/>
      <c r="C854" s="128"/>
      <c r="D854" s="128"/>
      <c r="E854" s="128"/>
      <c r="F854" s="128"/>
      <c r="G854" s="128"/>
      <c r="H854" s="21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</row>
    <row r="855" spans="1:26" ht="14.4" x14ac:dyDescent="0.3">
      <c r="A855" s="128"/>
      <c r="B855" s="218"/>
      <c r="C855" s="128"/>
      <c r="D855" s="128"/>
      <c r="E855" s="128"/>
      <c r="F855" s="128"/>
      <c r="G855" s="128"/>
      <c r="H855" s="21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</row>
    <row r="856" spans="1:26" ht="14.4" x14ac:dyDescent="0.3">
      <c r="A856" s="128"/>
      <c r="B856" s="218"/>
      <c r="C856" s="128"/>
      <c r="D856" s="128"/>
      <c r="E856" s="128"/>
      <c r="F856" s="128"/>
      <c r="G856" s="128"/>
      <c r="H856" s="21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</row>
    <row r="857" spans="1:26" ht="14.4" x14ac:dyDescent="0.3">
      <c r="A857" s="128"/>
      <c r="B857" s="218"/>
      <c r="C857" s="128"/>
      <c r="D857" s="128"/>
      <c r="E857" s="128"/>
      <c r="F857" s="128"/>
      <c r="G857" s="128"/>
      <c r="H857" s="21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</row>
    <row r="858" spans="1:26" ht="14.4" x14ac:dyDescent="0.3">
      <c r="A858" s="128"/>
      <c r="B858" s="218"/>
      <c r="C858" s="128"/>
      <c r="D858" s="128"/>
      <c r="E858" s="128"/>
      <c r="F858" s="128"/>
      <c r="G858" s="128"/>
      <c r="H858" s="21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</row>
    <row r="859" spans="1:26" ht="14.4" x14ac:dyDescent="0.3">
      <c r="A859" s="128"/>
      <c r="B859" s="218"/>
      <c r="C859" s="128"/>
      <c r="D859" s="128"/>
      <c r="E859" s="128"/>
      <c r="F859" s="128"/>
      <c r="G859" s="128"/>
      <c r="H859" s="21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</row>
    <row r="860" spans="1:26" ht="14.4" x14ac:dyDescent="0.3">
      <c r="A860" s="128"/>
      <c r="B860" s="218"/>
      <c r="C860" s="128"/>
      <c r="D860" s="128"/>
      <c r="E860" s="128"/>
      <c r="F860" s="128"/>
      <c r="G860" s="128"/>
      <c r="H860" s="21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</row>
    <row r="861" spans="1:26" ht="14.4" x14ac:dyDescent="0.3">
      <c r="A861" s="128"/>
      <c r="B861" s="218"/>
      <c r="C861" s="128"/>
      <c r="D861" s="128"/>
      <c r="E861" s="128"/>
      <c r="F861" s="128"/>
      <c r="G861" s="128"/>
      <c r="H861" s="21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</row>
    <row r="862" spans="1:26" ht="14.4" x14ac:dyDescent="0.3">
      <c r="A862" s="128"/>
      <c r="B862" s="218"/>
      <c r="C862" s="128"/>
      <c r="D862" s="128"/>
      <c r="E862" s="128"/>
      <c r="F862" s="128"/>
      <c r="G862" s="128"/>
      <c r="H862" s="21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</row>
    <row r="863" spans="1:26" ht="14.4" x14ac:dyDescent="0.3">
      <c r="A863" s="128"/>
      <c r="B863" s="218"/>
      <c r="C863" s="128"/>
      <c r="D863" s="128"/>
      <c r="E863" s="128"/>
      <c r="F863" s="128"/>
      <c r="G863" s="128"/>
      <c r="H863" s="21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</row>
    <row r="864" spans="1:26" ht="14.4" x14ac:dyDescent="0.3">
      <c r="A864" s="128"/>
      <c r="B864" s="218"/>
      <c r="C864" s="128"/>
      <c r="D864" s="128"/>
      <c r="E864" s="128"/>
      <c r="F864" s="128"/>
      <c r="G864" s="128"/>
      <c r="H864" s="21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</row>
    <row r="865" spans="1:26" ht="14.4" x14ac:dyDescent="0.3">
      <c r="A865" s="128"/>
      <c r="B865" s="218"/>
      <c r="C865" s="128"/>
      <c r="D865" s="128"/>
      <c r="E865" s="128"/>
      <c r="F865" s="128"/>
      <c r="G865" s="128"/>
      <c r="H865" s="21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</row>
    <row r="866" spans="1:26" ht="14.4" x14ac:dyDescent="0.3">
      <c r="A866" s="128"/>
      <c r="B866" s="218"/>
      <c r="C866" s="128"/>
      <c r="D866" s="128"/>
      <c r="E866" s="128"/>
      <c r="F866" s="128"/>
      <c r="G866" s="128"/>
      <c r="H866" s="21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</row>
    <row r="867" spans="1:26" ht="14.4" x14ac:dyDescent="0.3">
      <c r="A867" s="128"/>
      <c r="B867" s="218"/>
      <c r="C867" s="128"/>
      <c r="D867" s="128"/>
      <c r="E867" s="128"/>
      <c r="F867" s="128"/>
      <c r="G867" s="128"/>
      <c r="H867" s="21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</row>
    <row r="868" spans="1:26" ht="14.4" x14ac:dyDescent="0.3">
      <c r="A868" s="128"/>
      <c r="B868" s="218"/>
      <c r="C868" s="128"/>
      <c r="D868" s="128"/>
      <c r="E868" s="128"/>
      <c r="F868" s="128"/>
      <c r="G868" s="128"/>
      <c r="H868" s="21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</row>
    <row r="869" spans="1:26" ht="14.4" x14ac:dyDescent="0.3">
      <c r="A869" s="128"/>
      <c r="B869" s="218"/>
      <c r="C869" s="128"/>
      <c r="D869" s="128"/>
      <c r="E869" s="128"/>
      <c r="F869" s="128"/>
      <c r="G869" s="128"/>
      <c r="H869" s="21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</row>
    <row r="870" spans="1:26" ht="14.4" x14ac:dyDescent="0.3">
      <c r="A870" s="128"/>
      <c r="B870" s="218"/>
      <c r="C870" s="128"/>
      <c r="D870" s="128"/>
      <c r="E870" s="128"/>
      <c r="F870" s="128"/>
      <c r="G870" s="128"/>
      <c r="H870" s="21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</row>
    <row r="871" spans="1:26" ht="14.4" x14ac:dyDescent="0.3">
      <c r="A871" s="128"/>
      <c r="B871" s="218"/>
      <c r="C871" s="128"/>
      <c r="D871" s="128"/>
      <c r="E871" s="128"/>
      <c r="F871" s="128"/>
      <c r="G871" s="128"/>
      <c r="H871" s="21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</row>
    <row r="872" spans="1:26" ht="14.4" x14ac:dyDescent="0.3">
      <c r="A872" s="128"/>
      <c r="B872" s="218"/>
      <c r="C872" s="128"/>
      <c r="D872" s="128"/>
      <c r="E872" s="128"/>
      <c r="F872" s="128"/>
      <c r="G872" s="128"/>
      <c r="H872" s="21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</row>
    <row r="873" spans="1:26" ht="14.4" x14ac:dyDescent="0.3">
      <c r="A873" s="128"/>
      <c r="B873" s="218"/>
      <c r="C873" s="128"/>
      <c r="D873" s="128"/>
      <c r="E873" s="128"/>
      <c r="F873" s="128"/>
      <c r="G873" s="128"/>
      <c r="H873" s="21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</row>
    <row r="874" spans="1:26" ht="14.4" x14ac:dyDescent="0.3">
      <c r="A874" s="128"/>
      <c r="B874" s="218"/>
      <c r="C874" s="128"/>
      <c r="D874" s="128"/>
      <c r="E874" s="128"/>
      <c r="F874" s="128"/>
      <c r="G874" s="128"/>
      <c r="H874" s="21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</row>
    <row r="875" spans="1:26" ht="14.4" x14ac:dyDescent="0.3">
      <c r="A875" s="128"/>
      <c r="B875" s="218"/>
      <c r="C875" s="128"/>
      <c r="D875" s="128"/>
      <c r="E875" s="128"/>
      <c r="F875" s="128"/>
      <c r="G875" s="128"/>
      <c r="H875" s="21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</row>
    <row r="876" spans="1:26" ht="14.4" x14ac:dyDescent="0.3">
      <c r="A876" s="128"/>
      <c r="B876" s="218"/>
      <c r="C876" s="128"/>
      <c r="D876" s="128"/>
      <c r="E876" s="128"/>
      <c r="F876" s="128"/>
      <c r="G876" s="128"/>
      <c r="H876" s="21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</row>
    <row r="877" spans="1:26" ht="14.4" x14ac:dyDescent="0.3">
      <c r="A877" s="128"/>
      <c r="B877" s="218"/>
      <c r="C877" s="128"/>
      <c r="D877" s="128"/>
      <c r="E877" s="128"/>
      <c r="F877" s="128"/>
      <c r="G877" s="128"/>
      <c r="H877" s="21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</row>
    <row r="878" spans="1:26" ht="14.4" x14ac:dyDescent="0.3">
      <c r="A878" s="128"/>
      <c r="B878" s="218"/>
      <c r="C878" s="128"/>
      <c r="D878" s="128"/>
      <c r="E878" s="128"/>
      <c r="F878" s="128"/>
      <c r="G878" s="128"/>
      <c r="H878" s="21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</row>
    <row r="879" spans="1:26" ht="14.4" x14ac:dyDescent="0.3">
      <c r="A879" s="128"/>
      <c r="B879" s="218"/>
      <c r="C879" s="128"/>
      <c r="D879" s="128"/>
      <c r="E879" s="128"/>
      <c r="F879" s="128"/>
      <c r="G879" s="128"/>
      <c r="H879" s="21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</row>
    <row r="880" spans="1:26" ht="14.4" x14ac:dyDescent="0.3">
      <c r="A880" s="128"/>
      <c r="B880" s="218"/>
      <c r="C880" s="128"/>
      <c r="D880" s="128"/>
      <c r="E880" s="128"/>
      <c r="F880" s="128"/>
      <c r="G880" s="128"/>
      <c r="H880" s="21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</row>
    <row r="881" spans="1:26" ht="14.4" x14ac:dyDescent="0.3">
      <c r="A881" s="128"/>
      <c r="B881" s="218"/>
      <c r="C881" s="128"/>
      <c r="D881" s="128"/>
      <c r="E881" s="128"/>
      <c r="F881" s="128"/>
      <c r="G881" s="128"/>
      <c r="H881" s="21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</row>
    <row r="882" spans="1:26" ht="14.4" x14ac:dyDescent="0.3">
      <c r="A882" s="128"/>
      <c r="B882" s="218"/>
      <c r="C882" s="128"/>
      <c r="D882" s="128"/>
      <c r="E882" s="128"/>
      <c r="F882" s="128"/>
      <c r="G882" s="128"/>
      <c r="H882" s="21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</row>
    <row r="883" spans="1:26" ht="14.4" x14ac:dyDescent="0.3">
      <c r="A883" s="128"/>
      <c r="B883" s="218"/>
      <c r="C883" s="128"/>
      <c r="D883" s="128"/>
      <c r="E883" s="128"/>
      <c r="F883" s="128"/>
      <c r="G883" s="128"/>
      <c r="H883" s="21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</row>
    <row r="884" spans="1:26" ht="14.4" x14ac:dyDescent="0.3">
      <c r="A884" s="128"/>
      <c r="B884" s="218"/>
      <c r="C884" s="128"/>
      <c r="D884" s="128"/>
      <c r="E884" s="128"/>
      <c r="F884" s="128"/>
      <c r="G884" s="128"/>
      <c r="H884" s="21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</row>
    <row r="885" spans="1:26" ht="14.4" x14ac:dyDescent="0.3">
      <c r="A885" s="128"/>
      <c r="B885" s="218"/>
      <c r="C885" s="128"/>
      <c r="D885" s="128"/>
      <c r="E885" s="128"/>
      <c r="F885" s="128"/>
      <c r="G885" s="128"/>
      <c r="H885" s="21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</row>
    <row r="886" spans="1:26" ht="14.4" x14ac:dyDescent="0.3">
      <c r="A886" s="128"/>
      <c r="B886" s="218"/>
      <c r="C886" s="128"/>
      <c r="D886" s="128"/>
      <c r="E886" s="128"/>
      <c r="F886" s="128"/>
      <c r="G886" s="128"/>
      <c r="H886" s="21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</row>
    <row r="887" spans="1:26" ht="14.4" x14ac:dyDescent="0.3">
      <c r="A887" s="128"/>
      <c r="B887" s="218"/>
      <c r="C887" s="128"/>
      <c r="D887" s="128"/>
      <c r="E887" s="128"/>
      <c r="F887" s="128"/>
      <c r="G887" s="128"/>
      <c r="H887" s="21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</row>
    <row r="888" spans="1:26" ht="14.4" x14ac:dyDescent="0.3">
      <c r="A888" s="128"/>
      <c r="B888" s="218"/>
      <c r="C888" s="128"/>
      <c r="D888" s="128"/>
      <c r="E888" s="128"/>
      <c r="F888" s="128"/>
      <c r="G888" s="128"/>
      <c r="H888" s="21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</row>
    <row r="889" spans="1:26" ht="14.4" x14ac:dyDescent="0.3">
      <c r="A889" s="128"/>
      <c r="B889" s="218"/>
      <c r="C889" s="128"/>
      <c r="D889" s="128"/>
      <c r="E889" s="128"/>
      <c r="F889" s="128"/>
      <c r="G889" s="128"/>
      <c r="H889" s="21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</row>
    <row r="890" spans="1:26" ht="14.4" x14ac:dyDescent="0.3">
      <c r="A890" s="128"/>
      <c r="B890" s="218"/>
      <c r="C890" s="128"/>
      <c r="D890" s="128"/>
      <c r="E890" s="128"/>
      <c r="F890" s="128"/>
      <c r="G890" s="128"/>
      <c r="H890" s="21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</row>
    <row r="891" spans="1:26" ht="14.4" x14ac:dyDescent="0.3">
      <c r="A891" s="128"/>
      <c r="B891" s="218"/>
      <c r="C891" s="128"/>
      <c r="D891" s="128"/>
      <c r="E891" s="128"/>
      <c r="F891" s="128"/>
      <c r="G891" s="128"/>
      <c r="H891" s="21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</row>
    <row r="892" spans="1:26" ht="14.4" x14ac:dyDescent="0.3">
      <c r="A892" s="128"/>
      <c r="B892" s="218"/>
      <c r="C892" s="128"/>
      <c r="D892" s="128"/>
      <c r="E892" s="128"/>
      <c r="F892" s="128"/>
      <c r="G892" s="128"/>
      <c r="H892" s="21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</row>
    <row r="893" spans="1:26" ht="14.4" x14ac:dyDescent="0.3">
      <c r="A893" s="128"/>
      <c r="B893" s="218"/>
      <c r="C893" s="128"/>
      <c r="D893" s="128"/>
      <c r="E893" s="128"/>
      <c r="F893" s="128"/>
      <c r="G893" s="128"/>
      <c r="H893" s="21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</row>
    <row r="894" spans="1:26" ht="14.4" x14ac:dyDescent="0.3">
      <c r="A894" s="128"/>
      <c r="B894" s="218"/>
      <c r="C894" s="128"/>
      <c r="D894" s="128"/>
      <c r="E894" s="128"/>
      <c r="F894" s="128"/>
      <c r="G894" s="128"/>
      <c r="H894" s="21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</row>
    <row r="895" spans="1:26" ht="14.4" x14ac:dyDescent="0.3">
      <c r="A895" s="128"/>
      <c r="B895" s="218"/>
      <c r="C895" s="128"/>
      <c r="D895" s="128"/>
      <c r="E895" s="128"/>
      <c r="F895" s="128"/>
      <c r="G895" s="128"/>
      <c r="H895" s="21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</row>
    <row r="896" spans="1:26" ht="14.4" x14ac:dyDescent="0.3">
      <c r="A896" s="128"/>
      <c r="B896" s="218"/>
      <c r="C896" s="128"/>
      <c r="D896" s="128"/>
      <c r="E896" s="128"/>
      <c r="F896" s="128"/>
      <c r="G896" s="128"/>
      <c r="H896" s="21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</row>
    <row r="897" spans="1:26" ht="14.4" x14ac:dyDescent="0.3">
      <c r="A897" s="128"/>
      <c r="B897" s="218"/>
      <c r="C897" s="128"/>
      <c r="D897" s="128"/>
      <c r="E897" s="128"/>
      <c r="F897" s="128"/>
      <c r="G897" s="128"/>
      <c r="H897" s="21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</row>
    <row r="898" spans="1:26" ht="14.4" x14ac:dyDescent="0.3">
      <c r="A898" s="128"/>
      <c r="B898" s="218"/>
      <c r="C898" s="128"/>
      <c r="D898" s="128"/>
      <c r="E898" s="128"/>
      <c r="F898" s="128"/>
      <c r="G898" s="128"/>
      <c r="H898" s="21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</row>
    <row r="899" spans="1:26" ht="14.4" x14ac:dyDescent="0.3">
      <c r="A899" s="128"/>
      <c r="B899" s="218"/>
      <c r="C899" s="128"/>
      <c r="D899" s="128"/>
      <c r="E899" s="128"/>
      <c r="F899" s="128"/>
      <c r="G899" s="128"/>
      <c r="H899" s="21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</row>
    <row r="900" spans="1:26" ht="14.4" x14ac:dyDescent="0.3">
      <c r="A900" s="128"/>
      <c r="B900" s="218"/>
      <c r="C900" s="128"/>
      <c r="D900" s="128"/>
      <c r="E900" s="128"/>
      <c r="F900" s="128"/>
      <c r="G900" s="128"/>
      <c r="H900" s="21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</row>
    <row r="901" spans="1:26" ht="14.4" x14ac:dyDescent="0.3">
      <c r="A901" s="128"/>
      <c r="B901" s="218"/>
      <c r="C901" s="128"/>
      <c r="D901" s="128"/>
      <c r="E901" s="128"/>
      <c r="F901" s="128"/>
      <c r="G901" s="128"/>
      <c r="H901" s="21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</row>
    <row r="902" spans="1:26" ht="14.4" x14ac:dyDescent="0.3">
      <c r="A902" s="128"/>
      <c r="B902" s="218"/>
      <c r="C902" s="128"/>
      <c r="D902" s="128"/>
      <c r="E902" s="128"/>
      <c r="F902" s="128"/>
      <c r="G902" s="128"/>
      <c r="H902" s="21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</row>
    <row r="903" spans="1:26" ht="14.4" x14ac:dyDescent="0.3">
      <c r="A903" s="128"/>
      <c r="B903" s="218"/>
      <c r="C903" s="128"/>
      <c r="D903" s="128"/>
      <c r="E903" s="128"/>
      <c r="F903" s="128"/>
      <c r="G903" s="128"/>
      <c r="H903" s="21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</row>
    <row r="904" spans="1:26" ht="14.4" x14ac:dyDescent="0.3">
      <c r="A904" s="128"/>
      <c r="B904" s="218"/>
      <c r="C904" s="128"/>
      <c r="D904" s="128"/>
      <c r="E904" s="128"/>
      <c r="F904" s="128"/>
      <c r="G904" s="128"/>
      <c r="H904" s="21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</row>
    <row r="905" spans="1:26" ht="14.4" x14ac:dyDescent="0.3">
      <c r="A905" s="128"/>
      <c r="B905" s="218"/>
      <c r="C905" s="128"/>
      <c r="D905" s="128"/>
      <c r="E905" s="128"/>
      <c r="F905" s="128"/>
      <c r="G905" s="128"/>
      <c r="H905" s="21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</row>
    <row r="906" spans="1:26" ht="14.4" x14ac:dyDescent="0.3">
      <c r="A906" s="128"/>
      <c r="B906" s="218"/>
      <c r="C906" s="128"/>
      <c r="D906" s="128"/>
      <c r="E906" s="128"/>
      <c r="F906" s="128"/>
      <c r="G906" s="128"/>
      <c r="H906" s="21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</row>
    <row r="907" spans="1:26" ht="14.4" x14ac:dyDescent="0.3">
      <c r="A907" s="128"/>
      <c r="B907" s="218"/>
      <c r="C907" s="128"/>
      <c r="D907" s="128"/>
      <c r="E907" s="128"/>
      <c r="F907" s="128"/>
      <c r="G907" s="128"/>
      <c r="H907" s="21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</row>
    <row r="908" spans="1:26" ht="14.4" x14ac:dyDescent="0.3">
      <c r="A908" s="128"/>
      <c r="B908" s="218"/>
      <c r="C908" s="128"/>
      <c r="D908" s="128"/>
      <c r="E908" s="128"/>
      <c r="F908" s="128"/>
      <c r="G908" s="128"/>
      <c r="H908" s="21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</row>
    <row r="909" spans="1:26" ht="14.4" x14ac:dyDescent="0.3">
      <c r="A909" s="128"/>
      <c r="B909" s="218"/>
      <c r="C909" s="128"/>
      <c r="D909" s="128"/>
      <c r="E909" s="128"/>
      <c r="F909" s="128"/>
      <c r="G909" s="128"/>
      <c r="H909" s="21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</row>
    <row r="910" spans="1:26" ht="14.4" x14ac:dyDescent="0.3">
      <c r="A910" s="128"/>
      <c r="B910" s="218"/>
      <c r="C910" s="128"/>
      <c r="D910" s="128"/>
      <c r="E910" s="128"/>
      <c r="F910" s="128"/>
      <c r="G910" s="128"/>
      <c r="H910" s="21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</row>
    <row r="911" spans="1:26" ht="14.4" x14ac:dyDescent="0.3">
      <c r="A911" s="128"/>
      <c r="B911" s="218"/>
      <c r="C911" s="128"/>
      <c r="D911" s="128"/>
      <c r="E911" s="128"/>
      <c r="F911" s="128"/>
      <c r="G911" s="128"/>
      <c r="H911" s="21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</row>
    <row r="912" spans="1:26" ht="14.4" x14ac:dyDescent="0.3">
      <c r="A912" s="128"/>
      <c r="B912" s="218"/>
      <c r="C912" s="128"/>
      <c r="D912" s="128"/>
      <c r="E912" s="128"/>
      <c r="F912" s="128"/>
      <c r="G912" s="128"/>
      <c r="H912" s="21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</row>
    <row r="913" spans="1:26" ht="14.4" x14ac:dyDescent="0.3">
      <c r="A913" s="128"/>
      <c r="B913" s="218"/>
      <c r="C913" s="128"/>
      <c r="D913" s="128"/>
      <c r="E913" s="128"/>
      <c r="F913" s="128"/>
      <c r="G913" s="128"/>
      <c r="H913" s="21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</row>
    <row r="914" spans="1:26" ht="14.4" x14ac:dyDescent="0.3">
      <c r="A914" s="128"/>
      <c r="B914" s="218"/>
      <c r="C914" s="128"/>
      <c r="D914" s="128"/>
      <c r="E914" s="128"/>
      <c r="F914" s="128"/>
      <c r="G914" s="128"/>
      <c r="H914" s="21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  <c r="W914" s="128"/>
      <c r="X914" s="128"/>
      <c r="Y914" s="128"/>
      <c r="Z914" s="128"/>
    </row>
    <row r="915" spans="1:26" ht="14.4" x14ac:dyDescent="0.3">
      <c r="A915" s="128"/>
      <c r="B915" s="218"/>
      <c r="C915" s="128"/>
      <c r="D915" s="128"/>
      <c r="E915" s="128"/>
      <c r="F915" s="128"/>
      <c r="G915" s="128"/>
      <c r="H915" s="21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  <c r="W915" s="128"/>
      <c r="X915" s="128"/>
      <c r="Y915" s="128"/>
      <c r="Z915" s="128"/>
    </row>
    <row r="916" spans="1:26" ht="14.4" x14ac:dyDescent="0.3">
      <c r="A916" s="128"/>
      <c r="B916" s="218"/>
      <c r="C916" s="128"/>
      <c r="D916" s="128"/>
      <c r="E916" s="128"/>
      <c r="F916" s="128"/>
      <c r="G916" s="128"/>
      <c r="H916" s="21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  <c r="W916" s="128"/>
      <c r="X916" s="128"/>
      <c r="Y916" s="128"/>
      <c r="Z916" s="128"/>
    </row>
    <row r="917" spans="1:26" ht="14.4" x14ac:dyDescent="0.3">
      <c r="A917" s="128"/>
      <c r="B917" s="218"/>
      <c r="C917" s="128"/>
      <c r="D917" s="128"/>
      <c r="E917" s="128"/>
      <c r="F917" s="128"/>
      <c r="G917" s="128"/>
      <c r="H917" s="21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  <c r="W917" s="128"/>
      <c r="X917" s="128"/>
      <c r="Y917" s="128"/>
      <c r="Z917" s="128"/>
    </row>
    <row r="918" spans="1:26" ht="14.4" x14ac:dyDescent="0.3">
      <c r="A918" s="128"/>
      <c r="B918" s="218"/>
      <c r="C918" s="128"/>
      <c r="D918" s="128"/>
      <c r="E918" s="128"/>
      <c r="F918" s="128"/>
      <c r="G918" s="128"/>
      <c r="H918" s="21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  <c r="W918" s="128"/>
      <c r="X918" s="128"/>
      <c r="Y918" s="128"/>
      <c r="Z918" s="128"/>
    </row>
    <row r="919" spans="1:26" ht="14.4" x14ac:dyDescent="0.3">
      <c r="A919" s="128"/>
      <c r="B919" s="218"/>
      <c r="C919" s="128"/>
      <c r="D919" s="128"/>
      <c r="E919" s="128"/>
      <c r="F919" s="128"/>
      <c r="G919" s="128"/>
      <c r="H919" s="21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  <c r="W919" s="128"/>
      <c r="X919" s="128"/>
      <c r="Y919" s="128"/>
      <c r="Z919" s="128"/>
    </row>
    <row r="920" spans="1:26" ht="14.4" x14ac:dyDescent="0.3">
      <c r="A920" s="128"/>
      <c r="B920" s="218"/>
      <c r="C920" s="128"/>
      <c r="D920" s="128"/>
      <c r="E920" s="128"/>
      <c r="F920" s="128"/>
      <c r="G920" s="128"/>
      <c r="H920" s="21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  <c r="W920" s="128"/>
      <c r="X920" s="128"/>
      <c r="Y920" s="128"/>
      <c r="Z920" s="128"/>
    </row>
    <row r="921" spans="1:26" ht="14.4" x14ac:dyDescent="0.3">
      <c r="A921" s="128"/>
      <c r="B921" s="218"/>
      <c r="C921" s="128"/>
      <c r="D921" s="128"/>
      <c r="E921" s="128"/>
      <c r="F921" s="128"/>
      <c r="G921" s="128"/>
      <c r="H921" s="21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  <c r="W921" s="128"/>
      <c r="X921" s="128"/>
      <c r="Y921" s="128"/>
      <c r="Z921" s="128"/>
    </row>
    <row r="922" spans="1:26" ht="14.4" x14ac:dyDescent="0.3">
      <c r="A922" s="128"/>
      <c r="B922" s="218"/>
      <c r="C922" s="128"/>
      <c r="D922" s="128"/>
      <c r="E922" s="128"/>
      <c r="F922" s="128"/>
      <c r="G922" s="128"/>
      <c r="H922" s="21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  <c r="W922" s="128"/>
      <c r="X922" s="128"/>
      <c r="Y922" s="128"/>
      <c r="Z922" s="128"/>
    </row>
    <row r="923" spans="1:26" ht="14.4" x14ac:dyDescent="0.3">
      <c r="A923" s="128"/>
      <c r="B923" s="218"/>
      <c r="C923" s="128"/>
      <c r="D923" s="128"/>
      <c r="E923" s="128"/>
      <c r="F923" s="128"/>
      <c r="G923" s="128"/>
      <c r="H923" s="21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  <c r="W923" s="128"/>
      <c r="X923" s="128"/>
      <c r="Y923" s="128"/>
      <c r="Z923" s="128"/>
    </row>
    <row r="924" spans="1:26" ht="14.4" x14ac:dyDescent="0.3">
      <c r="A924" s="128"/>
      <c r="B924" s="218"/>
      <c r="C924" s="128"/>
      <c r="D924" s="128"/>
      <c r="E924" s="128"/>
      <c r="F924" s="128"/>
      <c r="G924" s="128"/>
      <c r="H924" s="21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  <c r="W924" s="128"/>
      <c r="X924" s="128"/>
      <c r="Y924" s="128"/>
      <c r="Z924" s="128"/>
    </row>
    <row r="925" spans="1:26" ht="14.4" x14ac:dyDescent="0.3">
      <c r="A925" s="128"/>
      <c r="B925" s="218"/>
      <c r="C925" s="128"/>
      <c r="D925" s="128"/>
      <c r="E925" s="128"/>
      <c r="F925" s="128"/>
      <c r="G925" s="128"/>
      <c r="H925" s="21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  <c r="W925" s="128"/>
      <c r="X925" s="128"/>
      <c r="Y925" s="128"/>
      <c r="Z925" s="128"/>
    </row>
    <row r="926" spans="1:26" ht="14.4" x14ac:dyDescent="0.3">
      <c r="A926" s="128"/>
      <c r="B926" s="218"/>
      <c r="C926" s="128"/>
      <c r="D926" s="128"/>
      <c r="E926" s="128"/>
      <c r="F926" s="128"/>
      <c r="G926" s="128"/>
      <c r="H926" s="21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  <c r="W926" s="128"/>
      <c r="X926" s="128"/>
      <c r="Y926" s="128"/>
      <c r="Z926" s="128"/>
    </row>
    <row r="927" spans="1:26" ht="14.4" x14ac:dyDescent="0.3">
      <c r="A927" s="128"/>
      <c r="B927" s="218"/>
      <c r="C927" s="128"/>
      <c r="D927" s="128"/>
      <c r="E927" s="128"/>
      <c r="F927" s="128"/>
      <c r="G927" s="128"/>
      <c r="H927" s="21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  <c r="W927" s="128"/>
      <c r="X927" s="128"/>
      <c r="Y927" s="128"/>
      <c r="Z927" s="128"/>
    </row>
    <row r="928" spans="1:26" ht="14.4" x14ac:dyDescent="0.3">
      <c r="A928" s="128"/>
      <c r="B928" s="218"/>
      <c r="C928" s="128"/>
      <c r="D928" s="128"/>
      <c r="E928" s="128"/>
      <c r="F928" s="128"/>
      <c r="G928" s="128"/>
      <c r="H928" s="21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  <c r="W928" s="128"/>
      <c r="X928" s="128"/>
      <c r="Y928" s="128"/>
      <c r="Z928" s="128"/>
    </row>
    <row r="929" spans="1:26" ht="14.4" x14ac:dyDescent="0.3">
      <c r="A929" s="128"/>
      <c r="B929" s="218"/>
      <c r="C929" s="128"/>
      <c r="D929" s="128"/>
      <c r="E929" s="128"/>
      <c r="F929" s="128"/>
      <c r="G929" s="128"/>
      <c r="H929" s="21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  <c r="W929" s="128"/>
      <c r="X929" s="128"/>
      <c r="Y929" s="128"/>
      <c r="Z929" s="128"/>
    </row>
    <row r="930" spans="1:26" ht="14.4" x14ac:dyDescent="0.3">
      <c r="A930" s="128"/>
      <c r="B930" s="218"/>
      <c r="C930" s="128"/>
      <c r="D930" s="128"/>
      <c r="E930" s="128"/>
      <c r="F930" s="128"/>
      <c r="G930" s="128"/>
      <c r="H930" s="21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  <c r="W930" s="128"/>
      <c r="X930" s="128"/>
      <c r="Y930" s="128"/>
      <c r="Z930" s="128"/>
    </row>
    <row r="931" spans="1:26" ht="14.4" x14ac:dyDescent="0.3">
      <c r="A931" s="128"/>
      <c r="B931" s="218"/>
      <c r="C931" s="128"/>
      <c r="D931" s="128"/>
      <c r="E931" s="128"/>
      <c r="F931" s="128"/>
      <c r="G931" s="128"/>
      <c r="H931" s="21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  <c r="W931" s="128"/>
      <c r="X931" s="128"/>
      <c r="Y931" s="128"/>
      <c r="Z931" s="128"/>
    </row>
    <row r="932" spans="1:26" ht="14.4" x14ac:dyDescent="0.3">
      <c r="A932" s="128"/>
      <c r="B932" s="218"/>
      <c r="C932" s="128"/>
      <c r="D932" s="128"/>
      <c r="E932" s="128"/>
      <c r="F932" s="128"/>
      <c r="G932" s="128"/>
      <c r="H932" s="21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  <c r="W932" s="128"/>
      <c r="X932" s="128"/>
      <c r="Y932" s="128"/>
      <c r="Z932" s="128"/>
    </row>
    <row r="933" spans="1:26" ht="14.4" x14ac:dyDescent="0.3">
      <c r="A933" s="128"/>
      <c r="B933" s="218"/>
      <c r="C933" s="128"/>
      <c r="D933" s="128"/>
      <c r="E933" s="128"/>
      <c r="F933" s="128"/>
      <c r="G933" s="128"/>
      <c r="H933" s="21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  <c r="W933" s="128"/>
      <c r="X933" s="128"/>
      <c r="Y933" s="128"/>
      <c r="Z933" s="128"/>
    </row>
    <row r="934" spans="1:26" ht="14.4" x14ac:dyDescent="0.3">
      <c r="A934" s="128"/>
      <c r="B934" s="218"/>
      <c r="C934" s="128"/>
      <c r="D934" s="128"/>
      <c r="E934" s="128"/>
      <c r="F934" s="128"/>
      <c r="G934" s="128"/>
      <c r="H934" s="21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  <c r="W934" s="128"/>
      <c r="X934" s="128"/>
      <c r="Y934" s="128"/>
      <c r="Z934" s="128"/>
    </row>
    <row r="935" spans="1:26" ht="14.4" x14ac:dyDescent="0.3">
      <c r="A935" s="128"/>
      <c r="B935" s="218"/>
      <c r="C935" s="128"/>
      <c r="D935" s="128"/>
      <c r="E935" s="128"/>
      <c r="F935" s="128"/>
      <c r="G935" s="128"/>
      <c r="H935" s="21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  <c r="W935" s="128"/>
      <c r="X935" s="128"/>
      <c r="Y935" s="128"/>
      <c r="Z935" s="128"/>
    </row>
    <row r="936" spans="1:26" ht="14.4" x14ac:dyDescent="0.3">
      <c r="A936" s="128"/>
      <c r="B936" s="218"/>
      <c r="C936" s="128"/>
      <c r="D936" s="128"/>
      <c r="E936" s="128"/>
      <c r="F936" s="128"/>
      <c r="G936" s="128"/>
      <c r="H936" s="21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  <c r="W936" s="128"/>
      <c r="X936" s="128"/>
      <c r="Y936" s="128"/>
      <c r="Z936" s="128"/>
    </row>
    <row r="937" spans="1:26" ht="14.4" x14ac:dyDescent="0.3">
      <c r="A937" s="128"/>
      <c r="B937" s="218"/>
      <c r="C937" s="128"/>
      <c r="D937" s="128"/>
      <c r="E937" s="128"/>
      <c r="F937" s="128"/>
      <c r="G937" s="128"/>
      <c r="H937" s="21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  <c r="W937" s="128"/>
      <c r="X937" s="128"/>
      <c r="Y937" s="128"/>
      <c r="Z937" s="128"/>
    </row>
    <row r="938" spans="1:26" ht="14.4" x14ac:dyDescent="0.3">
      <c r="A938" s="128"/>
      <c r="B938" s="218"/>
      <c r="C938" s="128"/>
      <c r="D938" s="128"/>
      <c r="E938" s="128"/>
      <c r="F938" s="128"/>
      <c r="G938" s="128"/>
      <c r="H938" s="21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  <c r="W938" s="128"/>
      <c r="X938" s="128"/>
      <c r="Y938" s="128"/>
      <c r="Z938" s="128"/>
    </row>
    <row r="939" spans="1:26" ht="14.4" x14ac:dyDescent="0.3">
      <c r="A939" s="128"/>
      <c r="B939" s="218"/>
      <c r="C939" s="128"/>
      <c r="D939" s="128"/>
      <c r="E939" s="128"/>
      <c r="F939" s="128"/>
      <c r="G939" s="128"/>
      <c r="H939" s="21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  <c r="W939" s="128"/>
      <c r="X939" s="128"/>
      <c r="Y939" s="128"/>
      <c r="Z939" s="128"/>
    </row>
    <row r="940" spans="1:26" ht="14.4" x14ac:dyDescent="0.3">
      <c r="A940" s="128"/>
      <c r="B940" s="218"/>
      <c r="C940" s="128"/>
      <c r="D940" s="128"/>
      <c r="E940" s="128"/>
      <c r="F940" s="128"/>
      <c r="G940" s="128"/>
      <c r="H940" s="21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  <c r="W940" s="128"/>
      <c r="X940" s="128"/>
      <c r="Y940" s="128"/>
      <c r="Z940" s="128"/>
    </row>
    <row r="941" spans="1:26" ht="14.4" x14ac:dyDescent="0.3">
      <c r="A941" s="128"/>
      <c r="B941" s="218"/>
      <c r="C941" s="128"/>
      <c r="D941" s="128"/>
      <c r="E941" s="128"/>
      <c r="F941" s="128"/>
      <c r="G941" s="128"/>
      <c r="H941" s="21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  <c r="W941" s="128"/>
      <c r="X941" s="128"/>
      <c r="Y941" s="128"/>
      <c r="Z941" s="128"/>
    </row>
    <row r="942" spans="1:26" ht="14.4" x14ac:dyDescent="0.3">
      <c r="A942" s="128"/>
      <c r="B942" s="218"/>
      <c r="C942" s="128"/>
      <c r="D942" s="128"/>
      <c r="E942" s="128"/>
      <c r="F942" s="128"/>
      <c r="G942" s="128"/>
      <c r="H942" s="21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  <c r="W942" s="128"/>
      <c r="X942" s="128"/>
      <c r="Y942" s="128"/>
      <c r="Z942" s="128"/>
    </row>
    <row r="943" spans="1:26" ht="14.4" x14ac:dyDescent="0.3">
      <c r="A943" s="128"/>
      <c r="B943" s="218"/>
      <c r="C943" s="128"/>
      <c r="D943" s="128"/>
      <c r="E943" s="128"/>
      <c r="F943" s="128"/>
      <c r="G943" s="128"/>
      <c r="H943" s="21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  <c r="W943" s="128"/>
      <c r="X943" s="128"/>
      <c r="Y943" s="128"/>
      <c r="Z943" s="128"/>
    </row>
    <row r="944" spans="1:26" ht="14.4" x14ac:dyDescent="0.3">
      <c r="A944" s="128"/>
      <c r="B944" s="218"/>
      <c r="C944" s="128"/>
      <c r="D944" s="128"/>
      <c r="E944" s="128"/>
      <c r="F944" s="128"/>
      <c r="G944" s="128"/>
      <c r="H944" s="21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  <c r="W944" s="128"/>
      <c r="X944" s="128"/>
      <c r="Y944" s="128"/>
      <c r="Z944" s="128"/>
    </row>
    <row r="945" spans="1:26" ht="14.4" x14ac:dyDescent="0.3">
      <c r="A945" s="128"/>
      <c r="B945" s="218"/>
      <c r="C945" s="128"/>
      <c r="D945" s="128"/>
      <c r="E945" s="128"/>
      <c r="F945" s="128"/>
      <c r="G945" s="128"/>
      <c r="H945" s="21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  <c r="W945" s="128"/>
      <c r="X945" s="128"/>
      <c r="Y945" s="128"/>
      <c r="Z945" s="128"/>
    </row>
    <row r="946" spans="1:26" ht="14.4" x14ac:dyDescent="0.3">
      <c r="A946" s="128"/>
      <c r="B946" s="218"/>
      <c r="C946" s="128"/>
      <c r="D946" s="128"/>
      <c r="E946" s="128"/>
      <c r="F946" s="128"/>
      <c r="G946" s="128"/>
      <c r="H946" s="21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  <c r="W946" s="128"/>
      <c r="X946" s="128"/>
      <c r="Y946" s="128"/>
      <c r="Z946" s="128"/>
    </row>
    <row r="947" spans="1:26" ht="14.4" x14ac:dyDescent="0.3">
      <c r="A947" s="128"/>
      <c r="B947" s="218"/>
      <c r="C947" s="128"/>
      <c r="D947" s="128"/>
      <c r="E947" s="128"/>
      <c r="F947" s="128"/>
      <c r="G947" s="128"/>
      <c r="H947" s="21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  <c r="W947" s="128"/>
      <c r="X947" s="128"/>
      <c r="Y947" s="128"/>
      <c r="Z947" s="128"/>
    </row>
    <row r="948" spans="1:26" ht="14.4" x14ac:dyDescent="0.3">
      <c r="A948" s="128"/>
      <c r="B948" s="218"/>
      <c r="C948" s="128"/>
      <c r="D948" s="128"/>
      <c r="E948" s="128"/>
      <c r="F948" s="128"/>
      <c r="G948" s="128"/>
      <c r="H948" s="21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  <c r="W948" s="128"/>
      <c r="X948" s="128"/>
      <c r="Y948" s="128"/>
      <c r="Z948" s="128"/>
    </row>
    <row r="949" spans="1:26" ht="14.4" x14ac:dyDescent="0.3">
      <c r="A949" s="128"/>
      <c r="B949" s="218"/>
      <c r="C949" s="128"/>
      <c r="D949" s="128"/>
      <c r="E949" s="128"/>
      <c r="F949" s="128"/>
      <c r="G949" s="128"/>
      <c r="H949" s="21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  <c r="W949" s="128"/>
      <c r="X949" s="128"/>
      <c r="Y949" s="128"/>
      <c r="Z949" s="128"/>
    </row>
    <row r="950" spans="1:26" ht="14.4" x14ac:dyDescent="0.3">
      <c r="A950" s="128"/>
      <c r="B950" s="218"/>
      <c r="C950" s="128"/>
      <c r="D950" s="128"/>
      <c r="E950" s="128"/>
      <c r="F950" s="128"/>
      <c r="G950" s="128"/>
      <c r="H950" s="21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  <c r="W950" s="128"/>
      <c r="X950" s="128"/>
      <c r="Y950" s="128"/>
      <c r="Z950" s="128"/>
    </row>
    <row r="951" spans="1:26" ht="14.4" x14ac:dyDescent="0.3">
      <c r="A951" s="128"/>
      <c r="B951" s="218"/>
      <c r="C951" s="128"/>
      <c r="D951" s="128"/>
      <c r="E951" s="128"/>
      <c r="F951" s="128"/>
      <c r="G951" s="128"/>
      <c r="H951" s="21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  <c r="W951" s="128"/>
      <c r="X951" s="128"/>
      <c r="Y951" s="128"/>
      <c r="Z951" s="128"/>
    </row>
    <row r="952" spans="1:26" ht="14.4" x14ac:dyDescent="0.3">
      <c r="A952" s="128"/>
      <c r="B952" s="218"/>
      <c r="C952" s="128"/>
      <c r="D952" s="128"/>
      <c r="E952" s="128"/>
      <c r="F952" s="128"/>
      <c r="G952" s="128"/>
      <c r="H952" s="21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  <c r="W952" s="128"/>
      <c r="X952" s="128"/>
      <c r="Y952" s="128"/>
      <c r="Z952" s="128"/>
    </row>
    <row r="953" spans="1:26" ht="14.4" x14ac:dyDescent="0.3">
      <c r="A953" s="128"/>
      <c r="B953" s="218"/>
      <c r="C953" s="128"/>
      <c r="D953" s="128"/>
      <c r="E953" s="128"/>
      <c r="F953" s="128"/>
      <c r="G953" s="128"/>
      <c r="H953" s="21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  <c r="W953" s="128"/>
      <c r="X953" s="128"/>
      <c r="Y953" s="128"/>
      <c r="Z953" s="128"/>
    </row>
    <row r="954" spans="1:26" ht="14.4" x14ac:dyDescent="0.3">
      <c r="A954" s="128"/>
      <c r="B954" s="218"/>
      <c r="C954" s="128"/>
      <c r="D954" s="128"/>
      <c r="E954" s="128"/>
      <c r="F954" s="128"/>
      <c r="G954" s="128"/>
      <c r="H954" s="21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  <c r="W954" s="128"/>
      <c r="X954" s="128"/>
      <c r="Y954" s="128"/>
      <c r="Z954" s="128"/>
    </row>
    <row r="955" spans="1:26" ht="14.4" x14ac:dyDescent="0.3">
      <c r="A955" s="128"/>
      <c r="B955" s="218"/>
      <c r="C955" s="128"/>
      <c r="D955" s="128"/>
      <c r="E955" s="128"/>
      <c r="F955" s="128"/>
      <c r="G955" s="128"/>
      <c r="H955" s="21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  <c r="W955" s="128"/>
      <c r="X955" s="128"/>
      <c r="Y955" s="128"/>
      <c r="Z955" s="128"/>
    </row>
    <row r="956" spans="1:26" ht="14.4" x14ac:dyDescent="0.3">
      <c r="A956" s="128"/>
      <c r="B956" s="218"/>
      <c r="C956" s="128"/>
      <c r="D956" s="128"/>
      <c r="E956" s="128"/>
      <c r="F956" s="128"/>
      <c r="G956" s="128"/>
      <c r="H956" s="21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  <c r="W956" s="128"/>
      <c r="X956" s="128"/>
      <c r="Y956" s="128"/>
      <c r="Z956" s="128"/>
    </row>
    <row r="957" spans="1:26" ht="14.4" x14ac:dyDescent="0.3">
      <c r="A957" s="128"/>
      <c r="B957" s="218"/>
      <c r="C957" s="128"/>
      <c r="D957" s="128"/>
      <c r="E957" s="128"/>
      <c r="F957" s="128"/>
      <c r="G957" s="128"/>
      <c r="H957" s="21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  <c r="W957" s="128"/>
      <c r="X957" s="128"/>
      <c r="Y957" s="128"/>
      <c r="Z957" s="128"/>
    </row>
    <row r="958" spans="1:26" ht="14.4" x14ac:dyDescent="0.3">
      <c r="A958" s="128"/>
      <c r="B958" s="218"/>
      <c r="C958" s="128"/>
      <c r="D958" s="128"/>
      <c r="E958" s="128"/>
      <c r="F958" s="128"/>
      <c r="G958" s="128"/>
      <c r="H958" s="21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128"/>
      <c r="T958" s="128"/>
      <c r="U958" s="128"/>
      <c r="V958" s="128"/>
      <c r="W958" s="128"/>
      <c r="X958" s="128"/>
      <c r="Y958" s="128"/>
      <c r="Z958" s="128"/>
    </row>
    <row r="959" spans="1:26" ht="14.4" x14ac:dyDescent="0.3">
      <c r="A959" s="128"/>
      <c r="B959" s="218"/>
      <c r="C959" s="128"/>
      <c r="D959" s="128"/>
      <c r="E959" s="128"/>
      <c r="F959" s="128"/>
      <c r="G959" s="128"/>
      <c r="H959" s="21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128"/>
      <c r="T959" s="128"/>
      <c r="U959" s="128"/>
      <c r="V959" s="128"/>
      <c r="W959" s="128"/>
      <c r="X959" s="128"/>
      <c r="Y959" s="128"/>
      <c r="Z959" s="128"/>
    </row>
    <row r="960" spans="1:26" ht="14.4" x14ac:dyDescent="0.3">
      <c r="A960" s="128"/>
      <c r="B960" s="218"/>
      <c r="C960" s="128"/>
      <c r="D960" s="128"/>
      <c r="E960" s="128"/>
      <c r="F960" s="128"/>
      <c r="G960" s="128"/>
      <c r="H960" s="21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128"/>
      <c r="T960" s="128"/>
      <c r="U960" s="128"/>
      <c r="V960" s="128"/>
      <c r="W960" s="128"/>
      <c r="X960" s="128"/>
      <c r="Y960" s="128"/>
      <c r="Z960" s="128"/>
    </row>
    <row r="961" spans="1:26" ht="14.4" x14ac:dyDescent="0.3">
      <c r="A961" s="128"/>
      <c r="B961" s="218"/>
      <c r="C961" s="128"/>
      <c r="D961" s="128"/>
      <c r="E961" s="128"/>
      <c r="F961" s="128"/>
      <c r="G961" s="128"/>
      <c r="H961" s="21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128"/>
      <c r="T961" s="128"/>
      <c r="U961" s="128"/>
      <c r="V961" s="128"/>
      <c r="W961" s="128"/>
      <c r="X961" s="128"/>
      <c r="Y961" s="128"/>
      <c r="Z961" s="128"/>
    </row>
    <row r="962" spans="1:26" ht="14.4" x14ac:dyDescent="0.3">
      <c r="A962" s="128"/>
      <c r="B962" s="218"/>
      <c r="C962" s="128"/>
      <c r="D962" s="128"/>
      <c r="E962" s="128"/>
      <c r="F962" s="128"/>
      <c r="G962" s="128"/>
      <c r="H962" s="21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128"/>
      <c r="T962" s="128"/>
      <c r="U962" s="128"/>
      <c r="V962" s="128"/>
      <c r="W962" s="128"/>
      <c r="X962" s="128"/>
      <c r="Y962" s="128"/>
      <c r="Z962" s="128"/>
    </row>
    <row r="963" spans="1:26" ht="14.4" x14ac:dyDescent="0.3">
      <c r="A963" s="128"/>
      <c r="B963" s="218"/>
      <c r="C963" s="128"/>
      <c r="D963" s="128"/>
      <c r="E963" s="128"/>
      <c r="F963" s="128"/>
      <c r="G963" s="128"/>
      <c r="H963" s="21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128"/>
      <c r="T963" s="128"/>
      <c r="U963" s="128"/>
      <c r="V963" s="128"/>
      <c r="W963" s="128"/>
      <c r="X963" s="128"/>
      <c r="Y963" s="128"/>
      <c r="Z963" s="128"/>
    </row>
    <row r="964" spans="1:26" ht="14.4" x14ac:dyDescent="0.3">
      <c r="A964" s="128"/>
      <c r="B964" s="218"/>
      <c r="C964" s="128"/>
      <c r="D964" s="128"/>
      <c r="E964" s="128"/>
      <c r="F964" s="128"/>
      <c r="G964" s="128"/>
      <c r="H964" s="21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128"/>
      <c r="T964" s="128"/>
      <c r="U964" s="128"/>
      <c r="V964" s="128"/>
      <c r="W964" s="128"/>
      <c r="X964" s="128"/>
      <c r="Y964" s="128"/>
      <c r="Z964" s="128"/>
    </row>
    <row r="965" spans="1:26" ht="14.4" x14ac:dyDescent="0.3">
      <c r="A965" s="128"/>
      <c r="B965" s="218"/>
      <c r="C965" s="128"/>
      <c r="D965" s="128"/>
      <c r="E965" s="128"/>
      <c r="F965" s="128"/>
      <c r="G965" s="128"/>
      <c r="H965" s="21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128"/>
      <c r="T965" s="128"/>
      <c r="U965" s="128"/>
      <c r="V965" s="128"/>
      <c r="W965" s="128"/>
      <c r="X965" s="128"/>
      <c r="Y965" s="128"/>
      <c r="Z965" s="128"/>
    </row>
    <row r="966" spans="1:26" ht="14.4" x14ac:dyDescent="0.3">
      <c r="A966" s="128"/>
      <c r="B966" s="218"/>
      <c r="C966" s="128"/>
      <c r="D966" s="128"/>
      <c r="E966" s="128"/>
      <c r="F966" s="128"/>
      <c r="G966" s="128"/>
      <c r="H966" s="21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128"/>
      <c r="T966" s="128"/>
      <c r="U966" s="128"/>
      <c r="V966" s="128"/>
      <c r="W966" s="128"/>
      <c r="X966" s="128"/>
      <c r="Y966" s="128"/>
      <c r="Z966" s="128"/>
    </row>
    <row r="967" spans="1:26" ht="14.4" x14ac:dyDescent="0.3">
      <c r="A967" s="128"/>
      <c r="B967" s="218"/>
      <c r="C967" s="128"/>
      <c r="D967" s="128"/>
      <c r="E967" s="128"/>
      <c r="F967" s="128"/>
      <c r="G967" s="128"/>
      <c r="H967" s="21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8"/>
      <c r="S967" s="128"/>
      <c r="T967" s="128"/>
      <c r="U967" s="128"/>
      <c r="V967" s="128"/>
      <c r="W967" s="128"/>
      <c r="X967" s="128"/>
      <c r="Y967" s="128"/>
      <c r="Z967" s="128"/>
    </row>
    <row r="968" spans="1:26" ht="14.4" x14ac:dyDescent="0.3">
      <c r="A968" s="128"/>
      <c r="B968" s="218"/>
      <c r="C968" s="128"/>
      <c r="D968" s="128"/>
      <c r="E968" s="128"/>
      <c r="F968" s="128"/>
      <c r="G968" s="128"/>
      <c r="H968" s="21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8"/>
      <c r="S968" s="128"/>
      <c r="T968" s="128"/>
      <c r="U968" s="128"/>
      <c r="V968" s="128"/>
      <c r="W968" s="128"/>
      <c r="X968" s="128"/>
      <c r="Y968" s="128"/>
      <c r="Z968" s="128"/>
    </row>
    <row r="969" spans="1:26" ht="14.4" x14ac:dyDescent="0.3">
      <c r="A969" s="128"/>
      <c r="B969" s="218"/>
      <c r="C969" s="128"/>
      <c r="D969" s="128"/>
      <c r="E969" s="128"/>
      <c r="F969" s="128"/>
      <c r="G969" s="128"/>
      <c r="H969" s="21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8"/>
      <c r="S969" s="128"/>
      <c r="T969" s="128"/>
      <c r="U969" s="128"/>
      <c r="V969" s="128"/>
      <c r="W969" s="128"/>
      <c r="X969" s="128"/>
      <c r="Y969" s="128"/>
      <c r="Z969" s="128"/>
    </row>
    <row r="970" spans="1:26" ht="14.4" x14ac:dyDescent="0.3">
      <c r="A970" s="128"/>
      <c r="B970" s="218"/>
      <c r="C970" s="128"/>
      <c r="D970" s="128"/>
      <c r="E970" s="128"/>
      <c r="F970" s="128"/>
      <c r="G970" s="128"/>
      <c r="H970" s="21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8"/>
      <c r="S970" s="128"/>
      <c r="T970" s="128"/>
      <c r="U970" s="128"/>
      <c r="V970" s="128"/>
      <c r="W970" s="128"/>
      <c r="X970" s="128"/>
      <c r="Y970" s="128"/>
      <c r="Z970" s="128"/>
    </row>
    <row r="971" spans="1:26" ht="14.4" x14ac:dyDescent="0.3">
      <c r="A971" s="128"/>
      <c r="B971" s="218"/>
      <c r="C971" s="128"/>
      <c r="D971" s="128"/>
      <c r="E971" s="128"/>
      <c r="F971" s="128"/>
      <c r="G971" s="128"/>
      <c r="H971" s="21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8"/>
      <c r="S971" s="128"/>
      <c r="T971" s="128"/>
      <c r="U971" s="128"/>
      <c r="V971" s="128"/>
      <c r="W971" s="128"/>
      <c r="X971" s="128"/>
      <c r="Y971" s="128"/>
      <c r="Z971" s="128"/>
    </row>
    <row r="972" spans="1:26" ht="14.4" x14ac:dyDescent="0.3">
      <c r="A972" s="128"/>
      <c r="B972" s="218"/>
      <c r="C972" s="128"/>
      <c r="D972" s="128"/>
      <c r="E972" s="128"/>
      <c r="F972" s="128"/>
      <c r="G972" s="128"/>
      <c r="H972" s="21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8"/>
      <c r="S972" s="128"/>
      <c r="T972" s="128"/>
      <c r="U972" s="128"/>
      <c r="V972" s="128"/>
      <c r="W972" s="128"/>
      <c r="X972" s="128"/>
      <c r="Y972" s="128"/>
      <c r="Z972" s="128"/>
    </row>
    <row r="973" spans="1:26" ht="14.4" x14ac:dyDescent="0.3">
      <c r="A973" s="128"/>
      <c r="B973" s="218"/>
      <c r="C973" s="128"/>
      <c r="D973" s="128"/>
      <c r="E973" s="128"/>
      <c r="F973" s="128"/>
      <c r="G973" s="128"/>
      <c r="H973" s="21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8"/>
      <c r="S973" s="128"/>
      <c r="T973" s="128"/>
      <c r="U973" s="128"/>
      <c r="V973" s="128"/>
      <c r="W973" s="128"/>
      <c r="X973" s="128"/>
      <c r="Y973" s="128"/>
      <c r="Z973" s="128"/>
    </row>
    <row r="974" spans="1:26" ht="14.4" x14ac:dyDescent="0.3">
      <c r="A974" s="128"/>
      <c r="B974" s="218"/>
      <c r="C974" s="128"/>
      <c r="D974" s="128"/>
      <c r="E974" s="128"/>
      <c r="F974" s="128"/>
      <c r="G974" s="128"/>
      <c r="H974" s="21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8"/>
      <c r="S974" s="128"/>
      <c r="T974" s="128"/>
      <c r="U974" s="128"/>
      <c r="V974" s="128"/>
      <c r="W974" s="128"/>
      <c r="X974" s="128"/>
      <c r="Y974" s="128"/>
      <c r="Z974" s="128"/>
    </row>
    <row r="975" spans="1:26" ht="14.4" x14ac:dyDescent="0.3">
      <c r="A975" s="128"/>
      <c r="B975" s="218"/>
      <c r="C975" s="128"/>
      <c r="D975" s="128"/>
      <c r="E975" s="128"/>
      <c r="F975" s="128"/>
      <c r="G975" s="128"/>
      <c r="H975" s="21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  <c r="S975" s="128"/>
      <c r="T975" s="128"/>
      <c r="U975" s="128"/>
      <c r="V975" s="128"/>
      <c r="W975" s="128"/>
      <c r="X975" s="128"/>
      <c r="Y975" s="128"/>
      <c r="Z975" s="128"/>
    </row>
    <row r="976" spans="1:26" ht="14.4" x14ac:dyDescent="0.3">
      <c r="A976" s="128"/>
      <c r="B976" s="218"/>
      <c r="C976" s="128"/>
      <c r="D976" s="128"/>
      <c r="E976" s="128"/>
      <c r="F976" s="128"/>
      <c r="G976" s="128"/>
      <c r="H976" s="21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8"/>
      <c r="S976" s="128"/>
      <c r="T976" s="128"/>
      <c r="U976" s="128"/>
      <c r="V976" s="128"/>
      <c r="W976" s="128"/>
      <c r="X976" s="128"/>
      <c r="Y976" s="128"/>
      <c r="Z976" s="128"/>
    </row>
    <row r="977" spans="1:26" ht="14.4" x14ac:dyDescent="0.3">
      <c r="A977" s="128"/>
      <c r="B977" s="218"/>
      <c r="C977" s="128"/>
      <c r="D977" s="128"/>
      <c r="E977" s="128"/>
      <c r="F977" s="128"/>
      <c r="G977" s="128"/>
      <c r="H977" s="21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8"/>
      <c r="S977" s="128"/>
      <c r="T977" s="128"/>
      <c r="U977" s="128"/>
      <c r="V977" s="128"/>
      <c r="W977" s="128"/>
      <c r="X977" s="128"/>
      <c r="Y977" s="128"/>
      <c r="Z977" s="128"/>
    </row>
    <row r="978" spans="1:26" ht="14.4" x14ac:dyDescent="0.3">
      <c r="A978" s="128"/>
      <c r="B978" s="218"/>
      <c r="C978" s="128"/>
      <c r="D978" s="128"/>
      <c r="E978" s="128"/>
      <c r="F978" s="128"/>
      <c r="G978" s="128"/>
      <c r="H978" s="21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8"/>
      <c r="S978" s="128"/>
      <c r="T978" s="128"/>
      <c r="U978" s="128"/>
      <c r="V978" s="128"/>
      <c r="W978" s="128"/>
      <c r="X978" s="128"/>
      <c r="Y978" s="128"/>
      <c r="Z978" s="128"/>
    </row>
    <row r="979" spans="1:26" ht="14.4" x14ac:dyDescent="0.3">
      <c r="A979" s="128"/>
      <c r="B979" s="218"/>
      <c r="C979" s="128"/>
      <c r="D979" s="128"/>
      <c r="E979" s="128"/>
      <c r="F979" s="128"/>
      <c r="G979" s="128"/>
      <c r="H979" s="21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8"/>
      <c r="S979" s="128"/>
      <c r="T979" s="128"/>
      <c r="U979" s="128"/>
      <c r="V979" s="128"/>
      <c r="W979" s="128"/>
      <c r="X979" s="128"/>
      <c r="Y979" s="128"/>
      <c r="Z979" s="128"/>
    </row>
    <row r="980" spans="1:26" ht="14.4" x14ac:dyDescent="0.3">
      <c r="A980" s="128"/>
      <c r="B980" s="218"/>
      <c r="C980" s="128"/>
      <c r="D980" s="128"/>
      <c r="E980" s="128"/>
      <c r="F980" s="128"/>
      <c r="G980" s="128"/>
      <c r="H980" s="218"/>
      <c r="I980" s="128"/>
      <c r="J980" s="128"/>
      <c r="K980" s="128"/>
      <c r="L980" s="128"/>
      <c r="M980" s="128"/>
      <c r="N980" s="128"/>
      <c r="O980" s="128"/>
      <c r="P980" s="128"/>
      <c r="Q980" s="128"/>
      <c r="R980" s="128"/>
      <c r="S980" s="128"/>
      <c r="T980" s="128"/>
      <c r="U980" s="128"/>
      <c r="V980" s="128"/>
      <c r="W980" s="128"/>
      <c r="X980" s="128"/>
      <c r="Y980" s="128"/>
      <c r="Z980" s="128"/>
    </row>
    <row r="981" spans="1:26" ht="14.4" x14ac:dyDescent="0.3">
      <c r="A981" s="128"/>
      <c r="B981" s="218"/>
      <c r="C981" s="128"/>
      <c r="D981" s="128"/>
      <c r="E981" s="128"/>
      <c r="F981" s="128"/>
      <c r="G981" s="128"/>
      <c r="H981" s="21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8"/>
      <c r="S981" s="128"/>
      <c r="T981" s="128"/>
      <c r="U981" s="128"/>
      <c r="V981" s="128"/>
      <c r="W981" s="128"/>
      <c r="X981" s="128"/>
      <c r="Y981" s="128"/>
      <c r="Z981" s="128"/>
    </row>
    <row r="982" spans="1:26" ht="14.4" x14ac:dyDescent="0.3">
      <c r="A982" s="128"/>
      <c r="B982" s="218"/>
      <c r="C982" s="128"/>
      <c r="D982" s="128"/>
      <c r="E982" s="128"/>
      <c r="F982" s="128"/>
      <c r="G982" s="128"/>
      <c r="H982" s="218"/>
      <c r="I982" s="128"/>
      <c r="J982" s="128"/>
      <c r="K982" s="128"/>
      <c r="L982" s="128"/>
      <c r="M982" s="128"/>
      <c r="N982" s="128"/>
      <c r="O982" s="128"/>
      <c r="P982" s="128"/>
      <c r="Q982" s="128"/>
      <c r="R982" s="128"/>
      <c r="S982" s="128"/>
      <c r="T982" s="128"/>
      <c r="U982" s="128"/>
      <c r="V982" s="128"/>
      <c r="W982" s="128"/>
      <c r="X982" s="128"/>
      <c r="Y982" s="128"/>
      <c r="Z982" s="128"/>
    </row>
    <row r="983" spans="1:26" ht="14.4" x14ac:dyDescent="0.3">
      <c r="A983" s="128"/>
      <c r="B983" s="218"/>
      <c r="C983" s="128"/>
      <c r="D983" s="128"/>
      <c r="E983" s="128"/>
      <c r="F983" s="128"/>
      <c r="G983" s="128"/>
      <c r="H983" s="218"/>
      <c r="I983" s="128"/>
      <c r="J983" s="128"/>
      <c r="K983" s="128"/>
      <c r="L983" s="128"/>
      <c r="M983" s="128"/>
      <c r="N983" s="128"/>
      <c r="O983" s="128"/>
      <c r="P983" s="128"/>
      <c r="Q983" s="128"/>
      <c r="R983" s="128"/>
      <c r="S983" s="128"/>
      <c r="T983" s="128"/>
      <c r="U983" s="128"/>
      <c r="V983" s="128"/>
      <c r="W983" s="128"/>
      <c r="X983" s="128"/>
      <c r="Y983" s="128"/>
      <c r="Z983" s="128"/>
    </row>
    <row r="984" spans="1:26" ht="14.4" x14ac:dyDescent="0.3">
      <c r="A984" s="128"/>
      <c r="B984" s="218"/>
      <c r="C984" s="128"/>
      <c r="D984" s="128"/>
      <c r="E984" s="128"/>
      <c r="F984" s="128"/>
      <c r="G984" s="128"/>
      <c r="H984" s="218"/>
      <c r="I984" s="128"/>
      <c r="J984" s="128"/>
      <c r="K984" s="128"/>
      <c r="L984" s="128"/>
      <c r="M984" s="128"/>
      <c r="N984" s="128"/>
      <c r="O984" s="128"/>
      <c r="P984" s="128"/>
      <c r="Q984" s="128"/>
      <c r="R984" s="128"/>
      <c r="S984" s="128"/>
      <c r="T984" s="128"/>
      <c r="U984" s="128"/>
      <c r="V984" s="128"/>
      <c r="W984" s="128"/>
      <c r="X984" s="128"/>
      <c r="Y984" s="128"/>
      <c r="Z984" s="128"/>
    </row>
    <row r="985" spans="1:26" ht="14.4" x14ac:dyDescent="0.3">
      <c r="A985" s="128"/>
      <c r="B985" s="218"/>
      <c r="C985" s="128"/>
      <c r="D985" s="128"/>
      <c r="E985" s="128"/>
      <c r="F985" s="128"/>
      <c r="G985" s="128"/>
      <c r="H985" s="218"/>
      <c r="I985" s="128"/>
      <c r="J985" s="128"/>
      <c r="K985" s="128"/>
      <c r="L985" s="128"/>
      <c r="M985" s="128"/>
      <c r="N985" s="128"/>
      <c r="O985" s="128"/>
      <c r="P985" s="128"/>
      <c r="Q985" s="128"/>
      <c r="R985" s="128"/>
      <c r="S985" s="128"/>
      <c r="T985" s="128"/>
      <c r="U985" s="128"/>
      <c r="V985" s="128"/>
      <c r="W985" s="128"/>
      <c r="X985" s="128"/>
      <c r="Y985" s="128"/>
      <c r="Z985" s="128"/>
    </row>
    <row r="986" spans="1:26" ht="14.4" x14ac:dyDescent="0.3">
      <c r="A986" s="128"/>
      <c r="B986" s="218"/>
      <c r="C986" s="128"/>
      <c r="D986" s="128"/>
      <c r="E986" s="128"/>
      <c r="F986" s="128"/>
      <c r="G986" s="128"/>
      <c r="H986" s="218"/>
      <c r="I986" s="128"/>
      <c r="J986" s="128"/>
      <c r="K986" s="128"/>
      <c r="L986" s="128"/>
      <c r="M986" s="128"/>
      <c r="N986" s="128"/>
      <c r="O986" s="128"/>
      <c r="P986" s="128"/>
      <c r="Q986" s="128"/>
      <c r="R986" s="128"/>
      <c r="S986" s="128"/>
      <c r="T986" s="128"/>
      <c r="U986" s="128"/>
      <c r="V986" s="128"/>
      <c r="W986" s="128"/>
      <c r="X986" s="128"/>
      <c r="Y986" s="128"/>
      <c r="Z986" s="128"/>
    </row>
    <row r="987" spans="1:26" ht="14.4" x14ac:dyDescent="0.3">
      <c r="A987" s="128"/>
      <c r="B987" s="218"/>
      <c r="C987" s="128"/>
      <c r="D987" s="128"/>
      <c r="E987" s="128"/>
      <c r="F987" s="128"/>
      <c r="G987" s="128"/>
      <c r="H987" s="218"/>
      <c r="I987" s="128"/>
      <c r="J987" s="128"/>
      <c r="K987" s="128"/>
      <c r="L987" s="128"/>
      <c r="M987" s="128"/>
      <c r="N987" s="128"/>
      <c r="O987" s="128"/>
      <c r="P987" s="128"/>
      <c r="Q987" s="128"/>
      <c r="R987" s="128"/>
      <c r="S987" s="128"/>
      <c r="T987" s="128"/>
      <c r="U987" s="128"/>
      <c r="V987" s="128"/>
      <c r="W987" s="128"/>
      <c r="X987" s="128"/>
      <c r="Y987" s="128"/>
      <c r="Z987" s="128"/>
    </row>
    <row r="988" spans="1:26" ht="14.4" x14ac:dyDescent="0.3">
      <c r="A988" s="128"/>
      <c r="B988" s="218"/>
      <c r="C988" s="128"/>
      <c r="D988" s="128"/>
      <c r="E988" s="128"/>
      <c r="F988" s="128"/>
      <c r="G988" s="128"/>
      <c r="H988" s="218"/>
      <c r="I988" s="128"/>
      <c r="J988" s="128"/>
      <c r="K988" s="128"/>
      <c r="L988" s="128"/>
      <c r="M988" s="128"/>
      <c r="N988" s="128"/>
      <c r="O988" s="128"/>
      <c r="P988" s="128"/>
      <c r="Q988" s="128"/>
      <c r="R988" s="128"/>
      <c r="S988" s="128"/>
      <c r="T988" s="128"/>
      <c r="U988" s="128"/>
      <c r="V988" s="128"/>
      <c r="W988" s="128"/>
      <c r="X988" s="128"/>
      <c r="Y988" s="128"/>
      <c r="Z988" s="128"/>
    </row>
    <row r="989" spans="1:26" ht="14.4" x14ac:dyDescent="0.3">
      <c r="A989" s="128"/>
      <c r="B989" s="218"/>
      <c r="C989" s="128"/>
      <c r="D989" s="128"/>
      <c r="E989" s="128"/>
      <c r="F989" s="128"/>
      <c r="G989" s="128"/>
      <c r="H989" s="218"/>
      <c r="I989" s="128"/>
      <c r="J989" s="128"/>
      <c r="K989" s="128"/>
      <c r="L989" s="128"/>
      <c r="M989" s="128"/>
      <c r="N989" s="128"/>
      <c r="O989" s="128"/>
      <c r="P989" s="128"/>
      <c r="Q989" s="128"/>
      <c r="R989" s="128"/>
      <c r="S989" s="128"/>
      <c r="T989" s="128"/>
      <c r="U989" s="128"/>
      <c r="V989" s="128"/>
      <c r="W989" s="128"/>
      <c r="X989" s="128"/>
      <c r="Y989" s="128"/>
      <c r="Z989" s="128"/>
    </row>
    <row r="990" spans="1:26" ht="14.4" x14ac:dyDescent="0.3">
      <c r="A990" s="128"/>
      <c r="B990" s="218"/>
      <c r="C990" s="128"/>
      <c r="D990" s="128"/>
      <c r="E990" s="128"/>
      <c r="F990" s="128"/>
      <c r="G990" s="128"/>
      <c r="H990" s="218"/>
      <c r="I990" s="128"/>
      <c r="J990" s="128"/>
      <c r="K990" s="128"/>
      <c r="L990" s="128"/>
      <c r="M990" s="128"/>
      <c r="N990" s="128"/>
      <c r="O990" s="128"/>
      <c r="P990" s="128"/>
      <c r="Q990" s="128"/>
      <c r="R990" s="128"/>
      <c r="S990" s="128"/>
      <c r="T990" s="128"/>
      <c r="U990" s="128"/>
      <c r="V990" s="128"/>
      <c r="W990" s="128"/>
      <c r="X990" s="128"/>
      <c r="Y990" s="128"/>
      <c r="Z990" s="128"/>
    </row>
  </sheetData>
  <mergeCells count="5">
    <mergeCell ref="C2:F2"/>
    <mergeCell ref="I2:L2"/>
    <mergeCell ref="B3:F3"/>
    <mergeCell ref="H3:L3"/>
    <mergeCell ref="E9:E1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/>
  </sheetViews>
  <sheetFormatPr defaultColWidth="12.6640625" defaultRowHeight="15.75" customHeight="1" x14ac:dyDescent="0.25"/>
  <cols>
    <col min="1" max="1" width="2.88671875" customWidth="1"/>
    <col min="2" max="2" width="4.33203125" customWidth="1"/>
    <col min="3" max="3" width="56" customWidth="1"/>
    <col min="4" max="16" width="9.109375" customWidth="1"/>
  </cols>
  <sheetData>
    <row r="1" spans="1:26" ht="15.75" customHeight="1" x14ac:dyDescent="0.3">
      <c r="A1" s="128"/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</row>
    <row r="2" spans="1:26" ht="15.75" customHeight="1" x14ac:dyDescent="0.3">
      <c r="A2" s="180"/>
      <c r="B2" s="299" t="s">
        <v>671</v>
      </c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69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</row>
    <row r="3" spans="1:26" ht="15.75" customHeight="1" x14ac:dyDescent="0.3">
      <c r="A3" s="180"/>
      <c r="B3" s="209"/>
      <c r="C3" s="209"/>
      <c r="D3" s="209"/>
      <c r="E3" s="224"/>
      <c r="F3" s="209"/>
      <c r="G3" s="209"/>
      <c r="H3" s="209"/>
      <c r="I3" s="209"/>
      <c r="J3" s="223"/>
      <c r="K3" s="209"/>
      <c r="L3" s="209"/>
      <c r="M3" s="223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</row>
    <row r="4" spans="1:26" ht="15.75" customHeight="1" x14ac:dyDescent="0.3">
      <c r="A4" s="180"/>
      <c r="B4" s="225"/>
      <c r="C4" s="225"/>
      <c r="D4" s="300" t="s">
        <v>672</v>
      </c>
      <c r="E4" s="258"/>
      <c r="F4" s="300" t="s">
        <v>673</v>
      </c>
      <c r="G4" s="258"/>
      <c r="H4" s="300" t="s">
        <v>674</v>
      </c>
      <c r="I4" s="258"/>
      <c r="J4" s="300" t="s">
        <v>675</v>
      </c>
      <c r="K4" s="257"/>
      <c r="L4" s="257"/>
      <c r="M4" s="297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</row>
    <row r="5" spans="1:26" ht="15.75" customHeight="1" x14ac:dyDescent="0.3">
      <c r="A5" s="180"/>
      <c r="B5" s="226" t="s">
        <v>676</v>
      </c>
      <c r="C5" s="37" t="s">
        <v>677</v>
      </c>
      <c r="D5" s="37" t="s">
        <v>678</v>
      </c>
      <c r="E5" s="37" t="s">
        <v>679</v>
      </c>
      <c r="F5" s="37" t="s">
        <v>678</v>
      </c>
      <c r="G5" s="37" t="s">
        <v>679</v>
      </c>
      <c r="H5" s="37" t="s">
        <v>678</v>
      </c>
      <c r="I5" s="227" t="s">
        <v>679</v>
      </c>
      <c r="J5" s="37" t="s">
        <v>680</v>
      </c>
      <c r="K5" s="37" t="s">
        <v>678</v>
      </c>
      <c r="L5" s="228" t="s">
        <v>681</v>
      </c>
      <c r="M5" s="227" t="s">
        <v>679</v>
      </c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</row>
    <row r="6" spans="1:26" ht="15.75" customHeight="1" x14ac:dyDescent="0.3">
      <c r="A6" s="180"/>
      <c r="B6" s="226"/>
      <c r="C6" s="229" t="s">
        <v>682</v>
      </c>
      <c r="D6" s="230" t="e">
        <f>L6*E6/100</f>
        <v>#REF!</v>
      </c>
      <c r="E6" s="230">
        <v>100</v>
      </c>
      <c r="F6" s="37"/>
      <c r="G6" s="37"/>
      <c r="H6" s="37"/>
      <c r="I6" s="227"/>
      <c r="J6" s="231">
        <f>E6+G6</f>
        <v>100</v>
      </c>
      <c r="K6" s="232" t="e">
        <f>'[1]R$ OBRA'!G19</f>
        <v>#REF!</v>
      </c>
      <c r="L6" s="233" t="e">
        <f>K6*1.4</f>
        <v>#REF!</v>
      </c>
      <c r="M6" s="234" t="e">
        <f>L6/$L$21</f>
        <v>#REF!</v>
      </c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</row>
    <row r="7" spans="1:26" ht="15.75" customHeight="1" x14ac:dyDescent="0.3">
      <c r="A7" s="180"/>
      <c r="B7" s="226">
        <v>1</v>
      </c>
      <c r="C7" s="235" t="s">
        <v>683</v>
      </c>
      <c r="D7" s="235"/>
      <c r="E7" s="235"/>
      <c r="F7" s="235"/>
      <c r="G7" s="235"/>
      <c r="H7" s="235"/>
      <c r="I7" s="235"/>
      <c r="J7" s="235"/>
      <c r="K7" s="235"/>
      <c r="L7" s="235"/>
      <c r="M7" s="235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</row>
    <row r="8" spans="1:26" ht="15.75" customHeight="1" x14ac:dyDescent="0.3">
      <c r="A8" s="180"/>
      <c r="B8" s="226">
        <v>2</v>
      </c>
      <c r="C8" s="236" t="s">
        <v>684</v>
      </c>
      <c r="D8" s="230" t="e">
        <f>L8*E8/100</f>
        <v>#REF!</v>
      </c>
      <c r="E8" s="230">
        <v>50</v>
      </c>
      <c r="F8" s="230" t="e">
        <f>$L8*G8/100</f>
        <v>#REF!</v>
      </c>
      <c r="G8" s="230">
        <v>0</v>
      </c>
      <c r="H8" s="230" t="e">
        <f>$L8*I8/100</f>
        <v>#REF!</v>
      </c>
      <c r="I8" s="237">
        <v>0</v>
      </c>
      <c r="J8" s="238">
        <f>E8+G8</f>
        <v>50</v>
      </c>
      <c r="K8" s="230" t="e">
        <f>'[1]R$ OBRA'!G29</f>
        <v>#REF!</v>
      </c>
      <c r="L8" s="230" t="e">
        <f>K8*1.4</f>
        <v>#REF!</v>
      </c>
      <c r="M8" s="234" t="e">
        <f>L8/$L$21</f>
        <v>#REF!</v>
      </c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</row>
    <row r="9" spans="1:26" ht="15.75" customHeight="1" x14ac:dyDescent="0.3">
      <c r="A9" s="180"/>
      <c r="B9" s="226">
        <v>3</v>
      </c>
      <c r="C9" s="235" t="s">
        <v>207</v>
      </c>
      <c r="D9" s="235"/>
      <c r="E9" s="235"/>
      <c r="F9" s="235"/>
      <c r="G9" s="235"/>
      <c r="H9" s="235"/>
      <c r="I9" s="235"/>
      <c r="J9" s="235"/>
      <c r="K9" s="235"/>
      <c r="L9" s="235"/>
      <c r="M9" s="235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</row>
    <row r="10" spans="1:26" ht="15.75" customHeight="1" x14ac:dyDescent="0.3">
      <c r="A10" s="180"/>
      <c r="B10" s="226">
        <v>4</v>
      </c>
      <c r="C10" s="236" t="s">
        <v>685</v>
      </c>
      <c r="D10" s="230" t="e">
        <f>L10*E10/100</f>
        <v>#REF!</v>
      </c>
      <c r="E10" s="230">
        <v>100</v>
      </c>
      <c r="F10" s="230" t="e">
        <f>$L10*G10/100</f>
        <v>#REF!</v>
      </c>
      <c r="G10" s="230">
        <v>0</v>
      </c>
      <c r="H10" s="230" t="e">
        <f>$L10*I10/100</f>
        <v>#REF!</v>
      </c>
      <c r="I10" s="237">
        <v>0</v>
      </c>
      <c r="J10" s="231">
        <f>E10+G10</f>
        <v>100</v>
      </c>
      <c r="K10" s="230" t="e">
        <f>'[1]R$ OBRA'!G49</f>
        <v>#REF!</v>
      </c>
      <c r="L10" s="230" t="e">
        <f>K10*1.4</f>
        <v>#REF!</v>
      </c>
      <c r="M10" s="234" t="e">
        <f>L10/$L$21</f>
        <v>#REF!</v>
      </c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</row>
    <row r="11" spans="1:26" ht="15.75" customHeight="1" x14ac:dyDescent="0.3">
      <c r="A11" s="180"/>
      <c r="B11" s="226">
        <v>5</v>
      </c>
      <c r="C11" s="235" t="s">
        <v>686</v>
      </c>
      <c r="D11" s="235"/>
      <c r="E11" s="235"/>
      <c r="F11" s="235"/>
      <c r="G11" s="235"/>
      <c r="H11" s="235"/>
      <c r="I11" s="235"/>
      <c r="J11" s="235"/>
      <c r="K11" s="235"/>
      <c r="L11" s="235"/>
      <c r="M11" s="235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</row>
    <row r="12" spans="1:26" ht="15.75" customHeight="1" x14ac:dyDescent="0.3">
      <c r="A12" s="180"/>
      <c r="B12" s="226">
        <v>6</v>
      </c>
      <c r="C12" s="236" t="s">
        <v>687</v>
      </c>
      <c r="D12" s="230" t="e">
        <f t="shared" ref="D12:D13" si="0">L12*E12/100</f>
        <v>#VALUE!</v>
      </c>
      <c r="E12" s="230">
        <v>0</v>
      </c>
      <c r="F12" s="230" t="e">
        <f t="shared" ref="F12:F13" si="1">$L12*G12/100</f>
        <v>#VALUE!</v>
      </c>
      <c r="G12" s="230">
        <v>100</v>
      </c>
      <c r="H12" s="230" t="e">
        <f t="shared" ref="H12:H13" si="2">$L12*I12/100</f>
        <v>#VALUE!</v>
      </c>
      <c r="I12" s="237">
        <v>100</v>
      </c>
      <c r="J12" s="231">
        <f t="shared" ref="J12:J13" si="3">E12+G12</f>
        <v>100</v>
      </c>
      <c r="K12" s="230" t="s">
        <v>696</v>
      </c>
      <c r="L12" s="230" t="e">
        <f t="shared" ref="L12:L13" si="4">K12*1.4</f>
        <v>#VALUE!</v>
      </c>
      <c r="M12" s="234" t="e">
        <f t="shared" ref="M12:M13" si="5">L12/$L$21</f>
        <v>#VALUE!</v>
      </c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</row>
    <row r="13" spans="1:26" ht="15.75" customHeight="1" x14ac:dyDescent="0.3">
      <c r="A13" s="180"/>
      <c r="B13" s="239">
        <v>7</v>
      </c>
      <c r="C13" s="236" t="s">
        <v>688</v>
      </c>
      <c r="D13" s="230" t="e">
        <f t="shared" si="0"/>
        <v>#VALUE!</v>
      </c>
      <c r="E13" s="230">
        <v>0</v>
      </c>
      <c r="F13" s="230" t="e">
        <f t="shared" si="1"/>
        <v>#VALUE!</v>
      </c>
      <c r="G13" s="230">
        <v>100</v>
      </c>
      <c r="H13" s="230" t="e">
        <f t="shared" si="2"/>
        <v>#VALUE!</v>
      </c>
      <c r="I13" s="237">
        <v>100</v>
      </c>
      <c r="J13" s="231">
        <f t="shared" si="3"/>
        <v>100</v>
      </c>
      <c r="K13" s="230" t="s">
        <v>696</v>
      </c>
      <c r="L13" s="230" t="e">
        <f t="shared" si="4"/>
        <v>#VALUE!</v>
      </c>
      <c r="M13" s="234" t="e">
        <f t="shared" si="5"/>
        <v>#VALUE!</v>
      </c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</row>
    <row r="14" spans="1:26" ht="15.75" customHeight="1" x14ac:dyDescent="0.3">
      <c r="A14" s="180"/>
      <c r="B14" s="239">
        <v>8</v>
      </c>
      <c r="C14" s="235" t="s">
        <v>689</v>
      </c>
      <c r="D14" s="235"/>
      <c r="E14" s="235"/>
      <c r="F14" s="235"/>
      <c r="G14" s="235"/>
      <c r="H14" s="235"/>
      <c r="I14" s="235"/>
      <c r="J14" s="235"/>
      <c r="K14" s="235"/>
      <c r="L14" s="235"/>
      <c r="M14" s="235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</row>
    <row r="15" spans="1:26" ht="15.75" customHeight="1" x14ac:dyDescent="0.3">
      <c r="A15" s="180"/>
      <c r="B15" s="239">
        <v>9</v>
      </c>
      <c r="C15" s="236" t="s">
        <v>690</v>
      </c>
      <c r="D15" s="230" t="e">
        <f t="shared" ref="D15:D16" si="6">L15*E15/100</f>
        <v>#VALUE!</v>
      </c>
      <c r="E15" s="230">
        <v>0</v>
      </c>
      <c r="F15" s="230" t="e">
        <f t="shared" ref="F15:F16" si="7">$L15*G15/100</f>
        <v>#VALUE!</v>
      </c>
      <c r="G15" s="230">
        <v>100</v>
      </c>
      <c r="H15" s="230" t="e">
        <f t="shared" ref="H15:H16" si="8">$L15*I15/100</f>
        <v>#VALUE!</v>
      </c>
      <c r="I15" s="237">
        <v>100</v>
      </c>
      <c r="J15" s="231">
        <f t="shared" ref="J15:J16" si="9">E15+G15</f>
        <v>100</v>
      </c>
      <c r="K15" s="230" t="s">
        <v>696</v>
      </c>
      <c r="L15" s="230" t="e">
        <f>K15*1.4</f>
        <v>#VALUE!</v>
      </c>
      <c r="M15" s="234" t="e">
        <f t="shared" ref="M15:M16" si="10">L15/$L$21</f>
        <v>#VALUE!</v>
      </c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</row>
    <row r="16" spans="1:26" ht="15.75" customHeight="1" x14ac:dyDescent="0.3">
      <c r="A16" s="180"/>
      <c r="B16" s="239">
        <v>10</v>
      </c>
      <c r="C16" s="236" t="s">
        <v>691</v>
      </c>
      <c r="D16" s="230" t="e">
        <f t="shared" si="6"/>
        <v>#VALUE!</v>
      </c>
      <c r="E16" s="230">
        <v>0</v>
      </c>
      <c r="F16" s="230" t="e">
        <f t="shared" si="7"/>
        <v>#VALUE!</v>
      </c>
      <c r="G16" s="230">
        <v>0</v>
      </c>
      <c r="H16" s="230" t="e">
        <f t="shared" si="8"/>
        <v>#VALUE!</v>
      </c>
      <c r="I16" s="237">
        <v>0</v>
      </c>
      <c r="J16" s="238">
        <f t="shared" si="9"/>
        <v>0</v>
      </c>
      <c r="K16" s="230" t="s">
        <v>696</v>
      </c>
      <c r="L16" s="230" t="str">
        <f>K16</f>
        <v>#REF!</v>
      </c>
      <c r="M16" s="234" t="e">
        <f t="shared" si="10"/>
        <v>#VALUE!</v>
      </c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</row>
    <row r="17" spans="1:26" ht="15.75" customHeight="1" x14ac:dyDescent="0.3">
      <c r="A17" s="180"/>
      <c r="B17" s="240"/>
      <c r="C17" s="241"/>
      <c r="D17" s="242"/>
      <c r="E17" s="242"/>
      <c r="F17" s="242"/>
      <c r="G17" s="242"/>
      <c r="H17" s="242"/>
      <c r="I17" s="243"/>
      <c r="J17" s="244"/>
      <c r="K17" s="242"/>
      <c r="L17" s="242"/>
      <c r="M17" s="245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</row>
    <row r="18" spans="1:26" ht="15.75" customHeight="1" x14ac:dyDescent="0.3">
      <c r="A18" s="180"/>
      <c r="B18" s="304" t="s">
        <v>692</v>
      </c>
      <c r="C18" s="297"/>
      <c r="D18" s="246" t="e">
        <f>SUM(D6:D16)</f>
        <v>#REF!</v>
      </c>
      <c r="E18" s="247"/>
      <c r="F18" s="301">
        <f>SUM(G7:G16)</f>
        <v>300</v>
      </c>
      <c r="G18" s="258"/>
      <c r="H18" s="301">
        <f>SUM(I7:I16)</f>
        <v>300</v>
      </c>
      <c r="I18" s="258"/>
      <c r="J18" s="248"/>
      <c r="K18" s="247"/>
      <c r="L18" s="247"/>
      <c r="M18" s="249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</row>
    <row r="19" spans="1:26" ht="15.75" customHeight="1" x14ac:dyDescent="0.3">
      <c r="A19" s="180"/>
      <c r="B19" s="305" t="s">
        <v>693</v>
      </c>
      <c r="C19" s="295"/>
      <c r="D19" s="250" t="e">
        <f>D18/$L$21</f>
        <v>#REF!</v>
      </c>
      <c r="E19" s="244"/>
      <c r="F19" s="302" t="e">
        <f>G18/$L$21</f>
        <v>#REF!</v>
      </c>
      <c r="G19" s="303"/>
      <c r="H19" s="302" t="e">
        <f>I18/$L$21</f>
        <v>#REF!</v>
      </c>
      <c r="I19" s="303"/>
      <c r="J19" s="248"/>
      <c r="K19" s="247"/>
      <c r="L19" s="247"/>
      <c r="M19" s="249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</row>
    <row r="20" spans="1:26" ht="15.75" customHeight="1" x14ac:dyDescent="0.3">
      <c r="A20" s="180"/>
      <c r="B20" s="305" t="s">
        <v>694</v>
      </c>
      <c r="C20" s="295"/>
      <c r="D20" s="246" t="e">
        <f t="shared" ref="D20:D21" si="11">D18</f>
        <v>#REF!</v>
      </c>
      <c r="E20" s="247"/>
      <c r="F20" s="301">
        <f t="shared" ref="F20:F21" si="12">G18+E20</f>
        <v>0</v>
      </c>
      <c r="G20" s="258"/>
      <c r="H20" s="301">
        <f t="shared" ref="H20:H21" si="13">I18+G20</f>
        <v>0</v>
      </c>
      <c r="I20" s="258"/>
      <c r="J20" s="248"/>
      <c r="K20" s="247"/>
      <c r="L20" s="247"/>
      <c r="M20" s="249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</row>
    <row r="21" spans="1:26" ht="15.75" customHeight="1" x14ac:dyDescent="0.3">
      <c r="A21" s="180"/>
      <c r="B21" s="305" t="s">
        <v>695</v>
      </c>
      <c r="C21" s="295"/>
      <c r="D21" s="250" t="e">
        <f t="shared" si="11"/>
        <v>#REF!</v>
      </c>
      <c r="E21" s="244"/>
      <c r="F21" s="302">
        <f t="shared" si="12"/>
        <v>0</v>
      </c>
      <c r="G21" s="303"/>
      <c r="H21" s="302">
        <f t="shared" si="13"/>
        <v>0</v>
      </c>
      <c r="I21" s="303"/>
      <c r="J21" s="244"/>
      <c r="K21" s="251" t="e">
        <f t="shared" ref="K21:M21" si="14">SUM(K6:K16)</f>
        <v>#REF!</v>
      </c>
      <c r="L21" s="251" t="e">
        <f t="shared" si="14"/>
        <v>#REF!</v>
      </c>
      <c r="M21" s="252" t="e">
        <f t="shared" si="14"/>
        <v>#REF!</v>
      </c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</row>
    <row r="22" spans="1:26" ht="15.75" customHeight="1" x14ac:dyDescent="0.3">
      <c r="A22" s="128"/>
      <c r="B22" s="161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</row>
    <row r="23" spans="1:26" ht="14.4" x14ac:dyDescent="0.3">
      <c r="A23" s="128"/>
      <c r="B23" s="161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</row>
    <row r="24" spans="1:26" ht="14.4" x14ac:dyDescent="0.3">
      <c r="A24" s="128"/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</row>
    <row r="25" spans="1:26" ht="14.4" x14ac:dyDescent="0.3">
      <c r="A25" s="128"/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</row>
    <row r="26" spans="1:26" ht="14.4" x14ac:dyDescent="0.3">
      <c r="A26" s="128"/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</row>
    <row r="27" spans="1:26" ht="14.4" x14ac:dyDescent="0.3">
      <c r="A27" s="128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</row>
    <row r="28" spans="1:26" ht="14.4" x14ac:dyDescent="0.3">
      <c r="A28" s="128"/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</row>
    <row r="29" spans="1:26" ht="14.4" x14ac:dyDescent="0.3">
      <c r="A29" s="128"/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</row>
    <row r="30" spans="1:26" ht="14.4" x14ac:dyDescent="0.3">
      <c r="A30" s="128"/>
      <c r="B30" s="161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</row>
    <row r="31" spans="1:26" ht="14.4" x14ac:dyDescent="0.3">
      <c r="A31" s="128"/>
      <c r="B31" s="161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</row>
    <row r="32" spans="1:26" ht="14.4" x14ac:dyDescent="0.3">
      <c r="A32" s="128"/>
      <c r="B32" s="128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</row>
    <row r="33" spans="1:26" ht="14.4" x14ac:dyDescent="0.3">
      <c r="A33" s="128"/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</row>
    <row r="34" spans="1:26" ht="14.4" x14ac:dyDescent="0.3">
      <c r="A34" s="128"/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</row>
    <row r="35" spans="1:26" ht="14.4" x14ac:dyDescent="0.3">
      <c r="A35" s="128"/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</row>
    <row r="36" spans="1:26" ht="14.4" x14ac:dyDescent="0.3">
      <c r="A36" s="128"/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</row>
    <row r="37" spans="1:26" ht="14.4" x14ac:dyDescent="0.3">
      <c r="A37" s="128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</row>
    <row r="38" spans="1:26" ht="14.4" x14ac:dyDescent="0.3">
      <c r="A38" s="128"/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</row>
    <row r="39" spans="1:26" ht="14.4" x14ac:dyDescent="0.3">
      <c r="A39" s="128"/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</row>
    <row r="40" spans="1:26" ht="14.4" x14ac:dyDescent="0.3">
      <c r="A40" s="128"/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</row>
    <row r="41" spans="1:26" ht="14.4" x14ac:dyDescent="0.3">
      <c r="A41" s="128"/>
      <c r="B41" s="128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</row>
    <row r="42" spans="1:26" ht="14.4" x14ac:dyDescent="0.3">
      <c r="A42" s="128"/>
      <c r="B42" s="128"/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</row>
    <row r="43" spans="1:26" ht="14.4" x14ac:dyDescent="0.3">
      <c r="A43" s="128"/>
      <c r="B43" s="128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</row>
    <row r="44" spans="1:26" ht="14.4" x14ac:dyDescent="0.3">
      <c r="A44" s="128"/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</row>
    <row r="45" spans="1:26" ht="14.4" x14ac:dyDescent="0.3">
      <c r="A45" s="128"/>
      <c r="B45" s="128"/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</row>
    <row r="46" spans="1:26" ht="14.4" x14ac:dyDescent="0.3">
      <c r="A46" s="128"/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</row>
    <row r="47" spans="1:26" ht="14.4" x14ac:dyDescent="0.3">
      <c r="A47" s="128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</row>
    <row r="48" spans="1:26" ht="14.4" x14ac:dyDescent="0.3">
      <c r="A48" s="128"/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</row>
    <row r="49" spans="1:26" ht="14.4" x14ac:dyDescent="0.3">
      <c r="A49" s="128"/>
      <c r="B49" s="128"/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</row>
    <row r="50" spans="1:26" ht="14.4" x14ac:dyDescent="0.3">
      <c r="A50" s="128"/>
      <c r="B50" s="128"/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</row>
    <row r="51" spans="1:26" ht="14.4" x14ac:dyDescent="0.3">
      <c r="A51" s="128"/>
      <c r="B51" s="128"/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</row>
    <row r="52" spans="1:26" ht="14.4" x14ac:dyDescent="0.3">
      <c r="A52" s="128"/>
      <c r="B52" s="128"/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</row>
    <row r="53" spans="1:26" ht="14.4" x14ac:dyDescent="0.3">
      <c r="A53" s="128"/>
      <c r="B53" s="128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</row>
    <row r="54" spans="1:26" ht="14.4" x14ac:dyDescent="0.3">
      <c r="A54" s="128"/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</row>
    <row r="55" spans="1:26" ht="14.4" x14ac:dyDescent="0.3">
      <c r="A55" s="128"/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</row>
    <row r="56" spans="1:26" ht="14.4" x14ac:dyDescent="0.3">
      <c r="A56" s="128"/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</row>
    <row r="57" spans="1:26" ht="14.4" x14ac:dyDescent="0.3">
      <c r="A57" s="128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</row>
    <row r="58" spans="1:26" ht="14.4" x14ac:dyDescent="0.3">
      <c r="A58" s="128"/>
      <c r="B58" s="128"/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</row>
    <row r="59" spans="1:26" ht="14.4" x14ac:dyDescent="0.3">
      <c r="A59" s="128"/>
      <c r="B59" s="128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</row>
    <row r="60" spans="1:26" ht="14.4" x14ac:dyDescent="0.3">
      <c r="A60" s="128"/>
      <c r="B60" s="128"/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</row>
    <row r="61" spans="1:26" ht="14.4" x14ac:dyDescent="0.3">
      <c r="A61" s="128"/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</row>
    <row r="62" spans="1:26" ht="14.4" x14ac:dyDescent="0.3">
      <c r="A62" s="128"/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</row>
    <row r="63" spans="1:26" ht="14.4" x14ac:dyDescent="0.3">
      <c r="A63" s="128"/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</row>
    <row r="64" spans="1:26" ht="14.4" x14ac:dyDescent="0.3">
      <c r="A64" s="128"/>
      <c r="B64" s="128"/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</row>
    <row r="65" spans="1:26" ht="14.4" x14ac:dyDescent="0.3">
      <c r="A65" s="128"/>
      <c r="B65" s="128"/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</row>
    <row r="66" spans="1:26" ht="14.4" x14ac:dyDescent="0.3">
      <c r="A66" s="128"/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</row>
    <row r="67" spans="1:26" ht="14.4" x14ac:dyDescent="0.3">
      <c r="A67" s="128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</row>
    <row r="68" spans="1:26" ht="14.4" x14ac:dyDescent="0.3">
      <c r="A68" s="128"/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</row>
    <row r="69" spans="1:26" ht="14.4" x14ac:dyDescent="0.3">
      <c r="A69" s="128"/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</row>
    <row r="70" spans="1:26" ht="14.4" x14ac:dyDescent="0.3">
      <c r="A70" s="128"/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</row>
    <row r="71" spans="1:26" ht="14.4" x14ac:dyDescent="0.3">
      <c r="A71" s="128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</row>
    <row r="72" spans="1:26" ht="14.4" x14ac:dyDescent="0.3">
      <c r="A72" s="128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</row>
    <row r="73" spans="1:26" ht="14.4" x14ac:dyDescent="0.3">
      <c r="A73" s="128"/>
      <c r="B73" s="128"/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</row>
    <row r="74" spans="1:26" ht="14.4" x14ac:dyDescent="0.3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</row>
    <row r="75" spans="1:26" ht="14.4" x14ac:dyDescent="0.3">
      <c r="A75" s="128"/>
      <c r="B75" s="128"/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</row>
    <row r="76" spans="1:26" ht="14.4" x14ac:dyDescent="0.3">
      <c r="A76" s="128"/>
      <c r="B76" s="128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</row>
    <row r="77" spans="1:26" ht="14.4" x14ac:dyDescent="0.3">
      <c r="A77" s="128"/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</row>
    <row r="78" spans="1:26" ht="14.4" x14ac:dyDescent="0.3">
      <c r="A78" s="128"/>
      <c r="B78" s="128"/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</row>
    <row r="79" spans="1:26" ht="14.4" x14ac:dyDescent="0.3">
      <c r="A79" s="128"/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</row>
    <row r="80" spans="1:26" ht="14.4" x14ac:dyDescent="0.3">
      <c r="A80" s="128"/>
      <c r="B80" s="128"/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</row>
    <row r="81" spans="1:26" ht="14.4" x14ac:dyDescent="0.3">
      <c r="A81" s="128"/>
      <c r="B81" s="128"/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</row>
    <row r="82" spans="1:26" ht="14.4" x14ac:dyDescent="0.3">
      <c r="A82" s="128"/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</row>
    <row r="83" spans="1:26" ht="14.4" x14ac:dyDescent="0.3">
      <c r="A83" s="128"/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</row>
    <row r="84" spans="1:26" ht="14.4" x14ac:dyDescent="0.3">
      <c r="A84" s="128"/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</row>
    <row r="85" spans="1:26" ht="14.4" x14ac:dyDescent="0.3">
      <c r="A85" s="128"/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</row>
    <row r="86" spans="1:26" ht="14.4" x14ac:dyDescent="0.3">
      <c r="A86" s="128"/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</row>
    <row r="87" spans="1:26" ht="14.4" x14ac:dyDescent="0.3">
      <c r="A87" s="128"/>
      <c r="B87" s="128"/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</row>
    <row r="88" spans="1:26" ht="14.4" x14ac:dyDescent="0.3">
      <c r="A88" s="128"/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</row>
    <row r="89" spans="1:26" ht="14.4" x14ac:dyDescent="0.3">
      <c r="A89" s="128"/>
      <c r="B89" s="128"/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</row>
    <row r="90" spans="1:26" ht="14.4" x14ac:dyDescent="0.3">
      <c r="A90" s="128"/>
      <c r="B90" s="128"/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</row>
    <row r="91" spans="1:26" ht="14.4" x14ac:dyDescent="0.3">
      <c r="A91" s="128"/>
      <c r="B91" s="128"/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</row>
    <row r="92" spans="1:26" ht="14.4" x14ac:dyDescent="0.3">
      <c r="A92" s="128"/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</row>
    <row r="93" spans="1:26" ht="14.4" x14ac:dyDescent="0.3">
      <c r="A93" s="128"/>
      <c r="B93" s="128"/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</row>
    <row r="94" spans="1:26" ht="14.4" x14ac:dyDescent="0.3">
      <c r="A94" s="128"/>
      <c r="B94" s="128"/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</row>
    <row r="95" spans="1:26" ht="14.4" x14ac:dyDescent="0.3">
      <c r="A95" s="128"/>
      <c r="B95" s="128"/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</row>
    <row r="96" spans="1:26" ht="14.4" x14ac:dyDescent="0.3">
      <c r="A96" s="128"/>
      <c r="B96" s="128"/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</row>
    <row r="97" spans="1:26" ht="14.4" x14ac:dyDescent="0.3">
      <c r="A97" s="128"/>
      <c r="B97" s="128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</row>
    <row r="98" spans="1:26" ht="14.4" x14ac:dyDescent="0.3">
      <c r="A98" s="128"/>
      <c r="B98" s="128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</row>
    <row r="99" spans="1:26" ht="14.4" x14ac:dyDescent="0.3">
      <c r="A99" s="128"/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</row>
    <row r="100" spans="1:26" ht="14.4" x14ac:dyDescent="0.3">
      <c r="A100" s="128"/>
      <c r="B100" s="128"/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</row>
    <row r="101" spans="1:26" ht="14.4" x14ac:dyDescent="0.3">
      <c r="A101" s="128"/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</row>
    <row r="102" spans="1:26" ht="14.4" x14ac:dyDescent="0.3">
      <c r="A102" s="128"/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</row>
    <row r="103" spans="1:26" ht="14.4" x14ac:dyDescent="0.3">
      <c r="A103" s="128"/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</row>
    <row r="104" spans="1:26" ht="14.4" x14ac:dyDescent="0.3">
      <c r="A104" s="128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</row>
    <row r="105" spans="1:26" ht="14.4" x14ac:dyDescent="0.3">
      <c r="A105" s="128"/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</row>
    <row r="106" spans="1:26" ht="14.4" x14ac:dyDescent="0.3">
      <c r="A106" s="128"/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</row>
    <row r="107" spans="1:26" ht="14.4" x14ac:dyDescent="0.3">
      <c r="A107" s="128"/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</row>
    <row r="108" spans="1:26" ht="14.4" x14ac:dyDescent="0.3">
      <c r="A108" s="128"/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</row>
    <row r="109" spans="1:26" ht="14.4" x14ac:dyDescent="0.3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</row>
    <row r="110" spans="1:26" ht="14.4" x14ac:dyDescent="0.3">
      <c r="A110" s="12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</row>
    <row r="111" spans="1:26" ht="14.4" x14ac:dyDescent="0.3">
      <c r="A111" s="128"/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</row>
    <row r="112" spans="1:26" ht="14.4" x14ac:dyDescent="0.3">
      <c r="A112" s="128"/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</row>
    <row r="113" spans="1:26" ht="14.4" x14ac:dyDescent="0.3">
      <c r="A113" s="128"/>
      <c r="B113" s="128"/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</row>
    <row r="114" spans="1:26" ht="14.4" x14ac:dyDescent="0.3">
      <c r="A114" s="128"/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</row>
    <row r="115" spans="1:26" ht="14.4" x14ac:dyDescent="0.3">
      <c r="A115" s="128"/>
      <c r="B115" s="128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</row>
    <row r="116" spans="1:26" ht="14.4" x14ac:dyDescent="0.3">
      <c r="A116" s="128"/>
      <c r="B116" s="12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</row>
    <row r="117" spans="1:26" ht="14.4" x14ac:dyDescent="0.3">
      <c r="A117" s="128"/>
      <c r="B117" s="128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</row>
    <row r="118" spans="1:26" ht="14.4" x14ac:dyDescent="0.3">
      <c r="A118" s="128"/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</row>
    <row r="119" spans="1:26" ht="14.4" x14ac:dyDescent="0.3">
      <c r="A119" s="128"/>
      <c r="B119" s="128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</row>
    <row r="120" spans="1:26" ht="14.4" x14ac:dyDescent="0.3">
      <c r="A120" s="128"/>
      <c r="B120" s="128"/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</row>
    <row r="121" spans="1:26" ht="14.4" x14ac:dyDescent="0.3">
      <c r="A121" s="128"/>
      <c r="B121" s="128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</row>
    <row r="122" spans="1:26" ht="14.4" x14ac:dyDescent="0.3">
      <c r="A122" s="128"/>
      <c r="B122" s="128"/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</row>
    <row r="123" spans="1:26" ht="14.4" x14ac:dyDescent="0.3">
      <c r="A123" s="128"/>
      <c r="B123" s="128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</row>
    <row r="124" spans="1:26" ht="14.4" x14ac:dyDescent="0.3">
      <c r="A124" s="128"/>
      <c r="B124" s="128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</row>
    <row r="125" spans="1:26" ht="14.4" x14ac:dyDescent="0.3">
      <c r="A125" s="128"/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</row>
    <row r="126" spans="1:26" ht="14.4" x14ac:dyDescent="0.3">
      <c r="A126" s="128"/>
      <c r="B126" s="128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</row>
    <row r="127" spans="1:26" ht="14.4" x14ac:dyDescent="0.3">
      <c r="A127" s="128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</row>
    <row r="128" spans="1:26" ht="14.4" x14ac:dyDescent="0.3">
      <c r="A128" s="128"/>
      <c r="B128" s="128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</row>
    <row r="129" spans="1:26" ht="14.4" x14ac:dyDescent="0.3">
      <c r="A129" s="128"/>
      <c r="B129" s="128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</row>
    <row r="130" spans="1:26" ht="14.4" x14ac:dyDescent="0.3">
      <c r="A130" s="128"/>
      <c r="B130" s="128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</row>
    <row r="131" spans="1:26" ht="14.4" x14ac:dyDescent="0.3">
      <c r="A131" s="128"/>
      <c r="B131" s="128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</row>
    <row r="132" spans="1:26" ht="14.4" x14ac:dyDescent="0.3">
      <c r="A132" s="128"/>
      <c r="B132" s="128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</row>
    <row r="133" spans="1:26" ht="14.4" x14ac:dyDescent="0.3">
      <c r="A133" s="128"/>
      <c r="B133" s="128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</row>
    <row r="134" spans="1:26" ht="14.4" x14ac:dyDescent="0.3">
      <c r="A134" s="128"/>
      <c r="B134" s="128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</row>
    <row r="135" spans="1:26" ht="14.4" x14ac:dyDescent="0.3">
      <c r="A135" s="128"/>
      <c r="B135" s="128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</row>
    <row r="136" spans="1:26" ht="14.4" x14ac:dyDescent="0.3">
      <c r="A136" s="128"/>
      <c r="B136" s="128"/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</row>
    <row r="137" spans="1:26" ht="14.4" x14ac:dyDescent="0.3">
      <c r="A137" s="128"/>
      <c r="B137" s="128"/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</row>
    <row r="138" spans="1:26" ht="14.4" x14ac:dyDescent="0.3">
      <c r="A138" s="128"/>
      <c r="B138" s="128"/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</row>
    <row r="139" spans="1:26" ht="14.4" x14ac:dyDescent="0.3">
      <c r="A139" s="128"/>
      <c r="B139" s="128"/>
      <c r="C139" s="128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</row>
    <row r="140" spans="1:26" ht="14.4" x14ac:dyDescent="0.3">
      <c r="A140" s="128"/>
      <c r="B140" s="128"/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</row>
    <row r="141" spans="1:26" ht="14.4" x14ac:dyDescent="0.3">
      <c r="A141" s="128"/>
      <c r="B141" s="128"/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</row>
    <row r="142" spans="1:26" ht="14.4" x14ac:dyDescent="0.3">
      <c r="A142" s="128"/>
      <c r="B142" s="128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</row>
    <row r="143" spans="1:26" ht="14.4" x14ac:dyDescent="0.3">
      <c r="A143" s="128"/>
      <c r="B143" s="128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</row>
    <row r="144" spans="1:26" ht="14.4" x14ac:dyDescent="0.3">
      <c r="A144" s="128"/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</row>
    <row r="145" spans="1:26" ht="14.4" x14ac:dyDescent="0.3">
      <c r="A145" s="128"/>
      <c r="B145" s="128"/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</row>
    <row r="146" spans="1:26" ht="14.4" x14ac:dyDescent="0.3">
      <c r="A146" s="128"/>
      <c r="B146" s="128"/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</row>
    <row r="147" spans="1:26" ht="14.4" x14ac:dyDescent="0.3">
      <c r="A147" s="128"/>
      <c r="B147" s="128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</row>
    <row r="148" spans="1:26" ht="14.4" x14ac:dyDescent="0.3">
      <c r="A148" s="128"/>
      <c r="B148" s="128"/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</row>
    <row r="149" spans="1:26" ht="14.4" x14ac:dyDescent="0.3">
      <c r="A149" s="128"/>
      <c r="B149" s="128"/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</row>
    <row r="150" spans="1:26" ht="14.4" x14ac:dyDescent="0.3">
      <c r="A150" s="128"/>
      <c r="B150" s="128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</row>
    <row r="151" spans="1:26" ht="14.4" x14ac:dyDescent="0.3">
      <c r="A151" s="128"/>
      <c r="B151" s="128"/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</row>
    <row r="152" spans="1:26" ht="14.4" x14ac:dyDescent="0.3">
      <c r="A152" s="128"/>
      <c r="B152" s="128"/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</row>
    <row r="153" spans="1:26" ht="14.4" x14ac:dyDescent="0.3">
      <c r="A153" s="128"/>
      <c r="B153" s="128"/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</row>
    <row r="154" spans="1:26" ht="14.4" x14ac:dyDescent="0.3">
      <c r="A154" s="128"/>
      <c r="B154" s="128"/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</row>
    <row r="155" spans="1:26" ht="14.4" x14ac:dyDescent="0.3">
      <c r="A155" s="128"/>
      <c r="B155" s="128"/>
      <c r="C155" s="128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</row>
    <row r="156" spans="1:26" ht="14.4" x14ac:dyDescent="0.3">
      <c r="A156" s="128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</row>
    <row r="157" spans="1:26" ht="14.4" x14ac:dyDescent="0.3">
      <c r="A157" s="128"/>
      <c r="B157" s="128"/>
      <c r="C157" s="128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</row>
    <row r="158" spans="1:26" ht="14.4" x14ac:dyDescent="0.3">
      <c r="A158" s="128"/>
      <c r="B158" s="128"/>
      <c r="C158" s="128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</row>
    <row r="159" spans="1:26" ht="14.4" x14ac:dyDescent="0.3">
      <c r="A159" s="128"/>
      <c r="B159" s="128"/>
      <c r="C159" s="128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</row>
    <row r="160" spans="1:26" ht="14.4" x14ac:dyDescent="0.3">
      <c r="A160" s="128"/>
      <c r="B160" s="128"/>
      <c r="C160" s="128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</row>
    <row r="161" spans="1:26" ht="14.4" x14ac:dyDescent="0.3">
      <c r="A161" s="128"/>
      <c r="B161" s="128"/>
      <c r="C161" s="128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</row>
    <row r="162" spans="1:26" ht="14.4" x14ac:dyDescent="0.3">
      <c r="A162" s="128"/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</row>
    <row r="163" spans="1:26" ht="14.4" x14ac:dyDescent="0.3">
      <c r="A163" s="128"/>
      <c r="B163" s="128"/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</row>
    <row r="164" spans="1:26" ht="14.4" x14ac:dyDescent="0.3">
      <c r="A164" s="128"/>
      <c r="B164" s="128"/>
      <c r="C164" s="128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</row>
    <row r="165" spans="1:26" ht="14.4" x14ac:dyDescent="0.3">
      <c r="A165" s="128"/>
      <c r="B165" s="128"/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</row>
    <row r="166" spans="1:26" ht="14.4" x14ac:dyDescent="0.3">
      <c r="A166" s="128"/>
      <c r="B166" s="128"/>
      <c r="C166" s="128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</row>
    <row r="167" spans="1:26" ht="14.4" x14ac:dyDescent="0.3">
      <c r="A167" s="128"/>
      <c r="B167" s="128"/>
      <c r="C167" s="128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</row>
    <row r="168" spans="1:26" ht="14.4" x14ac:dyDescent="0.3">
      <c r="A168" s="128"/>
      <c r="B168" s="128"/>
      <c r="C168" s="128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</row>
    <row r="169" spans="1:26" ht="14.4" x14ac:dyDescent="0.3">
      <c r="A169" s="128"/>
      <c r="B169" s="128"/>
      <c r="C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</row>
    <row r="170" spans="1:26" ht="14.4" x14ac:dyDescent="0.3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</row>
    <row r="171" spans="1:26" ht="14.4" x14ac:dyDescent="0.3">
      <c r="A171" s="128"/>
      <c r="B171" s="128"/>
      <c r="C171" s="128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</row>
    <row r="172" spans="1:26" ht="14.4" x14ac:dyDescent="0.3">
      <c r="A172" s="128"/>
      <c r="B172" s="128"/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</row>
    <row r="173" spans="1:26" ht="14.4" x14ac:dyDescent="0.3">
      <c r="A173" s="128"/>
      <c r="B173" s="128"/>
      <c r="C173" s="128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</row>
    <row r="174" spans="1:26" ht="14.4" x14ac:dyDescent="0.3">
      <c r="A174" s="128"/>
      <c r="B174" s="128"/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</row>
    <row r="175" spans="1:26" ht="14.4" x14ac:dyDescent="0.3">
      <c r="A175" s="128"/>
      <c r="B175" s="128"/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</row>
    <row r="176" spans="1:26" ht="14.4" x14ac:dyDescent="0.3">
      <c r="A176" s="128"/>
      <c r="B176" s="128"/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</row>
    <row r="177" spans="1:26" ht="14.4" x14ac:dyDescent="0.3">
      <c r="A177" s="128"/>
      <c r="B177" s="128"/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</row>
    <row r="178" spans="1:26" ht="14.4" x14ac:dyDescent="0.3">
      <c r="A178" s="128"/>
      <c r="B178" s="128"/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</row>
    <row r="179" spans="1:26" ht="14.4" x14ac:dyDescent="0.3">
      <c r="A179" s="128"/>
      <c r="B179" s="128"/>
      <c r="C179" s="128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</row>
    <row r="180" spans="1:26" ht="14.4" x14ac:dyDescent="0.3">
      <c r="A180" s="128"/>
      <c r="B180" s="128"/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</row>
    <row r="181" spans="1:26" ht="14.4" x14ac:dyDescent="0.3">
      <c r="A181" s="128"/>
      <c r="B181" s="128"/>
      <c r="C181" s="128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</row>
    <row r="182" spans="1:26" ht="14.4" x14ac:dyDescent="0.3">
      <c r="A182" s="128"/>
      <c r="B182" s="128"/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</row>
    <row r="183" spans="1:26" ht="14.4" x14ac:dyDescent="0.3">
      <c r="A183" s="128"/>
      <c r="B183" s="128"/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</row>
    <row r="184" spans="1:26" ht="14.4" x14ac:dyDescent="0.3">
      <c r="A184" s="128"/>
      <c r="B184" s="128"/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</row>
    <row r="185" spans="1:26" ht="14.4" x14ac:dyDescent="0.3">
      <c r="A185" s="128"/>
      <c r="B185" s="128"/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</row>
    <row r="186" spans="1:26" ht="14.4" x14ac:dyDescent="0.3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</row>
    <row r="187" spans="1:26" ht="14.4" x14ac:dyDescent="0.3">
      <c r="A187" s="128"/>
      <c r="B187" s="128"/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</row>
    <row r="188" spans="1:26" ht="14.4" x14ac:dyDescent="0.3">
      <c r="A188" s="128"/>
      <c r="B188" s="128"/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</row>
    <row r="189" spans="1:26" ht="14.4" x14ac:dyDescent="0.3">
      <c r="A189" s="128"/>
      <c r="B189" s="128"/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</row>
    <row r="190" spans="1:26" ht="14.4" x14ac:dyDescent="0.3">
      <c r="A190" s="128"/>
      <c r="B190" s="128"/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</row>
    <row r="191" spans="1:26" ht="14.4" x14ac:dyDescent="0.3">
      <c r="A191" s="128"/>
      <c r="B191" s="128"/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</row>
    <row r="192" spans="1:26" ht="14.4" x14ac:dyDescent="0.3">
      <c r="A192" s="128"/>
      <c r="B192" s="128"/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</row>
    <row r="193" spans="1:26" ht="14.4" x14ac:dyDescent="0.3">
      <c r="A193" s="128"/>
      <c r="B193" s="128"/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</row>
    <row r="194" spans="1:26" ht="14.4" x14ac:dyDescent="0.3">
      <c r="A194" s="128"/>
      <c r="B194" s="128"/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</row>
    <row r="195" spans="1:26" ht="14.4" x14ac:dyDescent="0.3">
      <c r="A195" s="128"/>
      <c r="B195" s="128"/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</row>
    <row r="196" spans="1:26" ht="14.4" x14ac:dyDescent="0.3">
      <c r="A196" s="128"/>
      <c r="B196" s="128"/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</row>
    <row r="197" spans="1:26" ht="14.4" x14ac:dyDescent="0.3">
      <c r="A197" s="128"/>
      <c r="B197" s="128"/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</row>
    <row r="198" spans="1:26" ht="14.4" x14ac:dyDescent="0.3">
      <c r="A198" s="128"/>
      <c r="B198" s="128"/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</row>
    <row r="199" spans="1:26" ht="14.4" x14ac:dyDescent="0.3">
      <c r="A199" s="128"/>
      <c r="B199" s="128"/>
      <c r="C199" s="128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</row>
    <row r="200" spans="1:26" ht="14.4" x14ac:dyDescent="0.3">
      <c r="A200" s="128"/>
      <c r="B200" s="128"/>
      <c r="C200" s="128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</row>
    <row r="201" spans="1:26" ht="14.4" x14ac:dyDescent="0.3">
      <c r="A201" s="128"/>
      <c r="B201" s="128"/>
      <c r="C201" s="128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</row>
    <row r="202" spans="1:26" ht="14.4" x14ac:dyDescent="0.3">
      <c r="A202" s="128"/>
      <c r="B202" s="128"/>
      <c r="C202" s="128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</row>
    <row r="203" spans="1:26" ht="14.4" x14ac:dyDescent="0.3">
      <c r="A203" s="128"/>
      <c r="B203" s="128"/>
      <c r="C203" s="128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</row>
    <row r="204" spans="1:26" ht="14.4" x14ac:dyDescent="0.3">
      <c r="A204" s="128"/>
      <c r="B204" s="128"/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</row>
    <row r="205" spans="1:26" ht="14.4" x14ac:dyDescent="0.3">
      <c r="A205" s="128"/>
      <c r="B205" s="128"/>
      <c r="C205" s="128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</row>
    <row r="206" spans="1:26" ht="14.4" x14ac:dyDescent="0.3">
      <c r="A206" s="128"/>
      <c r="B206" s="128"/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</row>
    <row r="207" spans="1:26" ht="14.4" x14ac:dyDescent="0.3">
      <c r="A207" s="128"/>
      <c r="B207" s="128"/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</row>
    <row r="208" spans="1:26" ht="14.4" x14ac:dyDescent="0.3">
      <c r="A208" s="128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</row>
    <row r="209" spans="1:26" ht="14.4" x14ac:dyDescent="0.3">
      <c r="A209" s="128"/>
      <c r="B209" s="128"/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</row>
    <row r="210" spans="1:26" ht="14.4" x14ac:dyDescent="0.3">
      <c r="A210" s="128"/>
      <c r="B210" s="128"/>
      <c r="C210" s="128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</row>
    <row r="211" spans="1:26" ht="14.4" x14ac:dyDescent="0.3">
      <c r="A211" s="128"/>
      <c r="B211" s="128"/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</row>
    <row r="212" spans="1:26" ht="14.4" x14ac:dyDescent="0.3">
      <c r="A212" s="128"/>
      <c r="B212" s="128"/>
      <c r="C212" s="128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</row>
    <row r="213" spans="1:26" ht="14.4" x14ac:dyDescent="0.3">
      <c r="A213" s="128"/>
      <c r="B213" s="128"/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</row>
    <row r="214" spans="1:26" ht="14.4" x14ac:dyDescent="0.3">
      <c r="A214" s="128"/>
      <c r="B214" s="128"/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</row>
    <row r="215" spans="1:26" ht="14.4" x14ac:dyDescent="0.3">
      <c r="A215" s="128"/>
      <c r="B215" s="128"/>
      <c r="C215" s="128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</row>
    <row r="216" spans="1:26" ht="14.4" x14ac:dyDescent="0.3">
      <c r="A216" s="128"/>
      <c r="B216" s="128"/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</row>
    <row r="217" spans="1:26" ht="14.4" x14ac:dyDescent="0.3">
      <c r="A217" s="128"/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</row>
    <row r="218" spans="1:26" ht="14.4" x14ac:dyDescent="0.3">
      <c r="A218" s="128"/>
      <c r="B218" s="128"/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</row>
    <row r="219" spans="1:26" ht="14.4" x14ac:dyDescent="0.3">
      <c r="A219" s="128"/>
      <c r="B219" s="128"/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</row>
    <row r="220" spans="1:26" ht="14.4" x14ac:dyDescent="0.3">
      <c r="A220" s="128"/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</row>
    <row r="221" spans="1:26" ht="14.4" x14ac:dyDescent="0.3">
      <c r="A221" s="128"/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</row>
    <row r="222" spans="1:26" ht="14.4" x14ac:dyDescent="0.3">
      <c r="A222" s="128"/>
      <c r="B222" s="128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</row>
    <row r="223" spans="1:26" ht="14.4" x14ac:dyDescent="0.3">
      <c r="A223" s="128"/>
      <c r="B223" s="128"/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</row>
    <row r="224" spans="1:26" ht="14.4" x14ac:dyDescent="0.3">
      <c r="A224" s="128"/>
      <c r="B224" s="128"/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</row>
    <row r="225" spans="1:26" ht="14.4" x14ac:dyDescent="0.3">
      <c r="A225" s="128"/>
      <c r="B225" s="128"/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</row>
    <row r="226" spans="1:26" ht="14.4" x14ac:dyDescent="0.3">
      <c r="A226" s="128"/>
      <c r="B226" s="128"/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</row>
    <row r="227" spans="1:26" ht="14.4" x14ac:dyDescent="0.3">
      <c r="A227" s="128"/>
      <c r="B227" s="128"/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</row>
    <row r="228" spans="1:26" ht="14.4" x14ac:dyDescent="0.3">
      <c r="A228" s="128"/>
      <c r="B228" s="128"/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</row>
    <row r="229" spans="1:26" ht="14.4" x14ac:dyDescent="0.3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</row>
    <row r="230" spans="1:26" ht="14.4" x14ac:dyDescent="0.3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</row>
    <row r="231" spans="1:26" ht="14.4" x14ac:dyDescent="0.3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</row>
    <row r="232" spans="1:26" ht="14.4" x14ac:dyDescent="0.3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</row>
    <row r="233" spans="1:26" ht="14.4" x14ac:dyDescent="0.3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</row>
    <row r="234" spans="1:26" ht="14.4" x14ac:dyDescent="0.3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</row>
    <row r="235" spans="1:26" ht="14.4" x14ac:dyDescent="0.3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</row>
    <row r="236" spans="1:26" ht="14.4" x14ac:dyDescent="0.3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</row>
    <row r="237" spans="1:26" ht="14.4" x14ac:dyDescent="0.3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</row>
    <row r="238" spans="1:26" ht="14.4" x14ac:dyDescent="0.3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</row>
    <row r="239" spans="1:26" ht="14.4" x14ac:dyDescent="0.3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</row>
    <row r="240" spans="1:26" ht="14.4" x14ac:dyDescent="0.3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</row>
    <row r="241" spans="1:26" ht="14.4" x14ac:dyDescent="0.3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</row>
    <row r="242" spans="1:26" ht="14.4" x14ac:dyDescent="0.3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</row>
    <row r="243" spans="1:26" ht="14.4" x14ac:dyDescent="0.3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</row>
    <row r="244" spans="1:26" ht="14.4" x14ac:dyDescent="0.3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</row>
    <row r="245" spans="1:26" ht="14.4" x14ac:dyDescent="0.3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</row>
    <row r="246" spans="1:26" ht="14.4" x14ac:dyDescent="0.3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</row>
    <row r="247" spans="1:26" ht="14.4" x14ac:dyDescent="0.3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</row>
    <row r="248" spans="1:26" ht="14.4" x14ac:dyDescent="0.3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</row>
    <row r="249" spans="1:26" ht="14.4" x14ac:dyDescent="0.3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</row>
    <row r="250" spans="1:26" ht="14.4" x14ac:dyDescent="0.3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</row>
    <row r="251" spans="1:26" ht="14.4" x14ac:dyDescent="0.3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</row>
    <row r="252" spans="1:26" ht="14.4" x14ac:dyDescent="0.3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</row>
    <row r="253" spans="1:26" ht="14.4" x14ac:dyDescent="0.3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</row>
    <row r="254" spans="1:26" ht="14.4" x14ac:dyDescent="0.3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</row>
    <row r="255" spans="1:26" ht="14.4" x14ac:dyDescent="0.3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</row>
    <row r="256" spans="1:26" ht="14.4" x14ac:dyDescent="0.3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</row>
    <row r="257" spans="1:26" ht="14.4" x14ac:dyDescent="0.3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</row>
    <row r="258" spans="1:26" ht="14.4" x14ac:dyDescent="0.3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</row>
    <row r="259" spans="1:26" ht="14.4" x14ac:dyDescent="0.3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</row>
    <row r="260" spans="1:26" ht="14.4" x14ac:dyDescent="0.3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</row>
    <row r="261" spans="1:26" ht="14.4" x14ac:dyDescent="0.3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</row>
    <row r="262" spans="1:26" ht="14.4" x14ac:dyDescent="0.3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</row>
    <row r="263" spans="1:26" ht="14.4" x14ac:dyDescent="0.3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</row>
    <row r="264" spans="1:26" ht="14.4" x14ac:dyDescent="0.3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</row>
    <row r="265" spans="1:26" ht="14.4" x14ac:dyDescent="0.3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</row>
    <row r="266" spans="1:26" ht="14.4" x14ac:dyDescent="0.3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</row>
    <row r="267" spans="1:26" ht="14.4" x14ac:dyDescent="0.3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</row>
    <row r="268" spans="1:26" ht="14.4" x14ac:dyDescent="0.3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</row>
    <row r="269" spans="1:26" ht="14.4" x14ac:dyDescent="0.3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</row>
    <row r="270" spans="1:26" ht="14.4" x14ac:dyDescent="0.3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</row>
    <row r="271" spans="1:26" ht="14.4" x14ac:dyDescent="0.3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</row>
    <row r="272" spans="1:26" ht="14.4" x14ac:dyDescent="0.3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</row>
    <row r="273" spans="1:26" ht="14.4" x14ac:dyDescent="0.3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</row>
    <row r="274" spans="1:26" ht="14.4" x14ac:dyDescent="0.3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</row>
    <row r="275" spans="1:26" ht="14.4" x14ac:dyDescent="0.3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</row>
    <row r="276" spans="1:26" ht="14.4" x14ac:dyDescent="0.3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</row>
    <row r="277" spans="1:26" ht="14.4" x14ac:dyDescent="0.3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</row>
    <row r="278" spans="1:26" ht="14.4" x14ac:dyDescent="0.3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</row>
    <row r="279" spans="1:26" ht="14.4" x14ac:dyDescent="0.3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</row>
    <row r="280" spans="1:26" ht="14.4" x14ac:dyDescent="0.3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</row>
    <row r="281" spans="1:26" ht="14.4" x14ac:dyDescent="0.3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</row>
    <row r="282" spans="1:26" ht="14.4" x14ac:dyDescent="0.3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</row>
    <row r="283" spans="1:26" ht="14.4" x14ac:dyDescent="0.3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</row>
    <row r="284" spans="1:26" ht="14.4" x14ac:dyDescent="0.3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</row>
    <row r="285" spans="1:26" ht="14.4" x14ac:dyDescent="0.3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</row>
    <row r="286" spans="1:26" ht="14.4" x14ac:dyDescent="0.3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</row>
    <row r="287" spans="1:26" ht="14.4" x14ac:dyDescent="0.3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</row>
    <row r="288" spans="1:26" ht="14.4" x14ac:dyDescent="0.3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</row>
    <row r="289" spans="1:26" ht="14.4" x14ac:dyDescent="0.3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</row>
    <row r="290" spans="1:26" ht="14.4" x14ac:dyDescent="0.3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</row>
    <row r="291" spans="1:26" ht="14.4" x14ac:dyDescent="0.3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</row>
    <row r="292" spans="1:26" ht="14.4" x14ac:dyDescent="0.3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</row>
    <row r="293" spans="1:26" ht="14.4" x14ac:dyDescent="0.3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</row>
    <row r="294" spans="1:26" ht="14.4" x14ac:dyDescent="0.3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</row>
    <row r="295" spans="1:26" ht="14.4" x14ac:dyDescent="0.3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</row>
    <row r="296" spans="1:26" ht="14.4" x14ac:dyDescent="0.3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</row>
    <row r="297" spans="1:26" ht="14.4" x14ac:dyDescent="0.3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</row>
    <row r="298" spans="1:26" ht="14.4" x14ac:dyDescent="0.3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</row>
    <row r="299" spans="1:26" ht="14.4" x14ac:dyDescent="0.3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</row>
    <row r="300" spans="1:26" ht="14.4" x14ac:dyDescent="0.3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</row>
    <row r="301" spans="1:26" ht="14.4" x14ac:dyDescent="0.3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</row>
    <row r="302" spans="1:26" ht="14.4" x14ac:dyDescent="0.3">
      <c r="A302" s="128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</row>
    <row r="303" spans="1:26" ht="14.4" x14ac:dyDescent="0.3">
      <c r="A303" s="128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</row>
    <row r="304" spans="1:26" ht="14.4" x14ac:dyDescent="0.3">
      <c r="A304" s="128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</row>
    <row r="305" spans="1:26" ht="14.4" x14ac:dyDescent="0.3">
      <c r="A305" s="128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</row>
    <row r="306" spans="1:26" ht="14.4" x14ac:dyDescent="0.3">
      <c r="A306" s="128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</row>
    <row r="307" spans="1:26" ht="14.4" x14ac:dyDescent="0.3">
      <c r="A307" s="128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</row>
    <row r="308" spans="1:26" ht="14.4" x14ac:dyDescent="0.3">
      <c r="A308" s="128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</row>
    <row r="309" spans="1:26" ht="14.4" x14ac:dyDescent="0.3">
      <c r="A309" s="128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</row>
    <row r="310" spans="1:26" ht="14.4" x14ac:dyDescent="0.3">
      <c r="A310" s="128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</row>
    <row r="311" spans="1:26" ht="14.4" x14ac:dyDescent="0.3">
      <c r="A311" s="128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</row>
    <row r="312" spans="1:26" ht="14.4" x14ac:dyDescent="0.3">
      <c r="A312" s="128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</row>
    <row r="313" spans="1:26" ht="14.4" x14ac:dyDescent="0.3">
      <c r="A313" s="128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</row>
    <row r="314" spans="1:26" ht="14.4" x14ac:dyDescent="0.3">
      <c r="A314" s="128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</row>
    <row r="315" spans="1:26" ht="14.4" x14ac:dyDescent="0.3">
      <c r="A315" s="128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</row>
    <row r="316" spans="1:26" ht="14.4" x14ac:dyDescent="0.3">
      <c r="A316" s="128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</row>
    <row r="317" spans="1:26" ht="14.4" x14ac:dyDescent="0.3">
      <c r="A317" s="128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</row>
    <row r="318" spans="1:26" ht="14.4" x14ac:dyDescent="0.3">
      <c r="A318" s="128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</row>
    <row r="319" spans="1:26" ht="14.4" x14ac:dyDescent="0.3">
      <c r="A319" s="128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</row>
    <row r="320" spans="1:26" ht="14.4" x14ac:dyDescent="0.3">
      <c r="A320" s="128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</row>
    <row r="321" spans="1:26" ht="14.4" x14ac:dyDescent="0.3">
      <c r="A321" s="128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</row>
    <row r="322" spans="1:26" ht="14.4" x14ac:dyDescent="0.3">
      <c r="A322" s="128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</row>
    <row r="323" spans="1:26" ht="14.4" x14ac:dyDescent="0.3">
      <c r="A323" s="128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</row>
    <row r="324" spans="1:26" ht="14.4" x14ac:dyDescent="0.3">
      <c r="A324" s="128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</row>
    <row r="325" spans="1:26" ht="14.4" x14ac:dyDescent="0.3">
      <c r="A325" s="128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</row>
    <row r="326" spans="1:26" ht="14.4" x14ac:dyDescent="0.3">
      <c r="A326" s="128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</row>
    <row r="327" spans="1:26" ht="14.4" x14ac:dyDescent="0.3">
      <c r="A327" s="128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</row>
    <row r="328" spans="1:26" ht="14.4" x14ac:dyDescent="0.3">
      <c r="A328" s="128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</row>
    <row r="329" spans="1:26" ht="14.4" x14ac:dyDescent="0.3">
      <c r="A329" s="128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</row>
    <row r="330" spans="1:26" ht="14.4" x14ac:dyDescent="0.3">
      <c r="A330" s="128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</row>
    <row r="331" spans="1:26" ht="14.4" x14ac:dyDescent="0.3">
      <c r="A331" s="128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</row>
    <row r="332" spans="1:26" ht="14.4" x14ac:dyDescent="0.3">
      <c r="A332" s="128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</row>
    <row r="333" spans="1:26" ht="14.4" x14ac:dyDescent="0.3">
      <c r="A333" s="128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</row>
    <row r="334" spans="1:26" ht="14.4" x14ac:dyDescent="0.3">
      <c r="A334" s="128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</row>
    <row r="335" spans="1:26" ht="14.4" x14ac:dyDescent="0.3">
      <c r="A335" s="128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</row>
    <row r="336" spans="1:26" ht="14.4" x14ac:dyDescent="0.3">
      <c r="A336" s="128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</row>
    <row r="337" spans="1:26" ht="14.4" x14ac:dyDescent="0.3">
      <c r="A337" s="128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</row>
    <row r="338" spans="1:26" ht="14.4" x14ac:dyDescent="0.3">
      <c r="A338" s="128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</row>
    <row r="339" spans="1:26" ht="14.4" x14ac:dyDescent="0.3">
      <c r="A339" s="128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</row>
    <row r="340" spans="1:26" ht="14.4" x14ac:dyDescent="0.3">
      <c r="A340" s="128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</row>
    <row r="341" spans="1:26" ht="14.4" x14ac:dyDescent="0.3">
      <c r="A341" s="128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</row>
    <row r="342" spans="1:26" ht="14.4" x14ac:dyDescent="0.3">
      <c r="A342" s="128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</row>
    <row r="343" spans="1:26" ht="14.4" x14ac:dyDescent="0.3">
      <c r="A343" s="128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</row>
    <row r="344" spans="1:26" ht="14.4" x14ac:dyDescent="0.3">
      <c r="A344" s="128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</row>
    <row r="345" spans="1:26" ht="14.4" x14ac:dyDescent="0.3">
      <c r="A345" s="128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</row>
    <row r="346" spans="1:26" ht="14.4" x14ac:dyDescent="0.3">
      <c r="A346" s="128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</row>
    <row r="347" spans="1:26" ht="14.4" x14ac:dyDescent="0.3">
      <c r="A347" s="128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</row>
    <row r="348" spans="1:26" ht="14.4" x14ac:dyDescent="0.3">
      <c r="A348" s="128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</row>
    <row r="349" spans="1:26" ht="14.4" x14ac:dyDescent="0.3">
      <c r="A349" s="128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</row>
    <row r="350" spans="1:26" ht="14.4" x14ac:dyDescent="0.3">
      <c r="A350" s="128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</row>
    <row r="351" spans="1:26" ht="14.4" x14ac:dyDescent="0.3">
      <c r="A351" s="128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</row>
    <row r="352" spans="1:26" ht="14.4" x14ac:dyDescent="0.3">
      <c r="A352" s="128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</row>
    <row r="353" spans="1:26" ht="14.4" x14ac:dyDescent="0.3">
      <c r="A353" s="128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</row>
    <row r="354" spans="1:26" ht="14.4" x14ac:dyDescent="0.3">
      <c r="A354" s="128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</row>
    <row r="355" spans="1:26" ht="14.4" x14ac:dyDescent="0.3">
      <c r="A355" s="128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</row>
    <row r="356" spans="1:26" ht="14.4" x14ac:dyDescent="0.3">
      <c r="A356" s="128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</row>
    <row r="357" spans="1:26" ht="14.4" x14ac:dyDescent="0.3">
      <c r="A357" s="128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</row>
    <row r="358" spans="1:26" ht="14.4" x14ac:dyDescent="0.3">
      <c r="A358" s="128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</row>
    <row r="359" spans="1:26" ht="14.4" x14ac:dyDescent="0.3">
      <c r="A359" s="128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</row>
    <row r="360" spans="1:26" ht="14.4" x14ac:dyDescent="0.3">
      <c r="A360" s="128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</row>
    <row r="361" spans="1:26" ht="14.4" x14ac:dyDescent="0.3">
      <c r="A361" s="128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</row>
    <row r="362" spans="1:26" ht="14.4" x14ac:dyDescent="0.3">
      <c r="A362" s="128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</row>
    <row r="363" spans="1:26" ht="14.4" x14ac:dyDescent="0.3">
      <c r="A363" s="128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</row>
    <row r="364" spans="1:26" ht="14.4" x14ac:dyDescent="0.3">
      <c r="A364" s="128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</row>
    <row r="365" spans="1:26" ht="14.4" x14ac:dyDescent="0.3">
      <c r="A365" s="128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</row>
    <row r="366" spans="1:26" ht="14.4" x14ac:dyDescent="0.3">
      <c r="A366" s="128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</row>
    <row r="367" spans="1:26" ht="14.4" x14ac:dyDescent="0.3">
      <c r="A367" s="128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</row>
    <row r="368" spans="1:26" ht="14.4" x14ac:dyDescent="0.3">
      <c r="A368" s="128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</row>
    <row r="369" spans="1:26" ht="14.4" x14ac:dyDescent="0.3">
      <c r="A369" s="128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</row>
    <row r="370" spans="1:26" ht="14.4" x14ac:dyDescent="0.3">
      <c r="A370" s="128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</row>
    <row r="371" spans="1:26" ht="14.4" x14ac:dyDescent="0.3">
      <c r="A371" s="128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</row>
    <row r="372" spans="1:26" ht="14.4" x14ac:dyDescent="0.3">
      <c r="A372" s="128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</row>
    <row r="373" spans="1:26" ht="14.4" x14ac:dyDescent="0.3">
      <c r="A373" s="128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</row>
    <row r="374" spans="1:26" ht="14.4" x14ac:dyDescent="0.3">
      <c r="A374" s="128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</row>
    <row r="375" spans="1:26" ht="14.4" x14ac:dyDescent="0.3">
      <c r="A375" s="128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</row>
    <row r="376" spans="1:26" ht="14.4" x14ac:dyDescent="0.3">
      <c r="A376" s="128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</row>
    <row r="377" spans="1:26" ht="14.4" x14ac:dyDescent="0.3">
      <c r="A377" s="128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</row>
    <row r="378" spans="1:26" ht="14.4" x14ac:dyDescent="0.3">
      <c r="A378" s="128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</row>
    <row r="379" spans="1:26" ht="14.4" x14ac:dyDescent="0.3">
      <c r="A379" s="128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</row>
    <row r="380" spans="1:26" ht="14.4" x14ac:dyDescent="0.3">
      <c r="A380" s="128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</row>
    <row r="381" spans="1:26" ht="14.4" x14ac:dyDescent="0.3">
      <c r="A381" s="128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</row>
    <row r="382" spans="1:26" ht="14.4" x14ac:dyDescent="0.3">
      <c r="A382" s="128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</row>
    <row r="383" spans="1:26" ht="14.4" x14ac:dyDescent="0.3">
      <c r="A383" s="128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</row>
    <row r="384" spans="1:26" ht="14.4" x14ac:dyDescent="0.3">
      <c r="A384" s="128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</row>
    <row r="385" spans="1:26" ht="14.4" x14ac:dyDescent="0.3">
      <c r="A385" s="128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</row>
    <row r="386" spans="1:26" ht="14.4" x14ac:dyDescent="0.3">
      <c r="A386" s="128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</row>
    <row r="387" spans="1:26" ht="14.4" x14ac:dyDescent="0.3">
      <c r="A387" s="128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</row>
    <row r="388" spans="1:26" ht="14.4" x14ac:dyDescent="0.3">
      <c r="A388" s="128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</row>
    <row r="389" spans="1:26" ht="14.4" x14ac:dyDescent="0.3">
      <c r="A389" s="128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</row>
    <row r="390" spans="1:26" ht="14.4" x14ac:dyDescent="0.3">
      <c r="A390" s="128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</row>
    <row r="391" spans="1:26" ht="14.4" x14ac:dyDescent="0.3">
      <c r="A391" s="128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</row>
    <row r="392" spans="1:26" ht="14.4" x14ac:dyDescent="0.3">
      <c r="A392" s="128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</row>
    <row r="393" spans="1:26" ht="14.4" x14ac:dyDescent="0.3">
      <c r="A393" s="128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</row>
    <row r="394" spans="1:26" ht="14.4" x14ac:dyDescent="0.3">
      <c r="A394" s="128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</row>
    <row r="395" spans="1:26" ht="14.4" x14ac:dyDescent="0.3">
      <c r="A395" s="128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</row>
    <row r="396" spans="1:26" ht="14.4" x14ac:dyDescent="0.3">
      <c r="A396" s="128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</row>
    <row r="397" spans="1:26" ht="14.4" x14ac:dyDescent="0.3">
      <c r="A397" s="128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</row>
    <row r="398" spans="1:26" ht="14.4" x14ac:dyDescent="0.3">
      <c r="A398" s="128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</row>
    <row r="399" spans="1:26" ht="14.4" x14ac:dyDescent="0.3">
      <c r="A399" s="128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</row>
    <row r="400" spans="1:26" ht="14.4" x14ac:dyDescent="0.3">
      <c r="A400" s="128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</row>
    <row r="401" spans="1:26" ht="14.4" x14ac:dyDescent="0.3">
      <c r="A401" s="128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</row>
    <row r="402" spans="1:26" ht="14.4" x14ac:dyDescent="0.3">
      <c r="A402" s="128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</row>
    <row r="403" spans="1:26" ht="14.4" x14ac:dyDescent="0.3">
      <c r="A403" s="128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</row>
    <row r="404" spans="1:26" ht="14.4" x14ac:dyDescent="0.3">
      <c r="A404" s="128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</row>
    <row r="405" spans="1:26" ht="14.4" x14ac:dyDescent="0.3">
      <c r="A405" s="128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</row>
    <row r="406" spans="1:26" ht="14.4" x14ac:dyDescent="0.3">
      <c r="A406" s="128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</row>
    <row r="407" spans="1:26" ht="14.4" x14ac:dyDescent="0.3">
      <c r="A407" s="128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</row>
    <row r="408" spans="1:26" ht="14.4" x14ac:dyDescent="0.3">
      <c r="A408" s="128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</row>
    <row r="409" spans="1:26" ht="14.4" x14ac:dyDescent="0.3">
      <c r="A409" s="128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</row>
    <row r="410" spans="1:26" ht="14.4" x14ac:dyDescent="0.3">
      <c r="A410" s="128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</row>
    <row r="411" spans="1:26" ht="14.4" x14ac:dyDescent="0.3">
      <c r="A411" s="128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</row>
    <row r="412" spans="1:26" ht="14.4" x14ac:dyDescent="0.3">
      <c r="A412" s="128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</row>
    <row r="413" spans="1:26" ht="14.4" x14ac:dyDescent="0.3">
      <c r="A413" s="128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</row>
    <row r="414" spans="1:26" ht="14.4" x14ac:dyDescent="0.3">
      <c r="A414" s="128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</row>
    <row r="415" spans="1:26" ht="14.4" x14ac:dyDescent="0.3">
      <c r="A415" s="128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</row>
    <row r="416" spans="1:26" ht="14.4" x14ac:dyDescent="0.3">
      <c r="A416" s="128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</row>
    <row r="417" spans="1:26" ht="14.4" x14ac:dyDescent="0.3">
      <c r="A417" s="128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</row>
    <row r="418" spans="1:26" ht="14.4" x14ac:dyDescent="0.3">
      <c r="A418" s="128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</row>
    <row r="419" spans="1:26" ht="14.4" x14ac:dyDescent="0.3">
      <c r="A419" s="128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</row>
    <row r="420" spans="1:26" ht="14.4" x14ac:dyDescent="0.3">
      <c r="A420" s="128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</row>
    <row r="421" spans="1:26" ht="14.4" x14ac:dyDescent="0.3">
      <c r="A421" s="128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</row>
    <row r="422" spans="1:26" ht="14.4" x14ac:dyDescent="0.3">
      <c r="A422" s="128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</row>
    <row r="423" spans="1:26" ht="14.4" x14ac:dyDescent="0.3">
      <c r="A423" s="128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</row>
    <row r="424" spans="1:26" ht="14.4" x14ac:dyDescent="0.3">
      <c r="A424" s="128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</row>
    <row r="425" spans="1:26" ht="14.4" x14ac:dyDescent="0.3">
      <c r="A425" s="128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</row>
    <row r="426" spans="1:26" ht="14.4" x14ac:dyDescent="0.3">
      <c r="A426" s="128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</row>
    <row r="427" spans="1:26" ht="14.4" x14ac:dyDescent="0.3">
      <c r="A427" s="128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</row>
    <row r="428" spans="1:26" ht="14.4" x14ac:dyDescent="0.3">
      <c r="A428" s="128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</row>
    <row r="429" spans="1:26" ht="14.4" x14ac:dyDescent="0.3">
      <c r="A429" s="128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</row>
    <row r="430" spans="1:26" ht="14.4" x14ac:dyDescent="0.3">
      <c r="A430" s="128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</row>
    <row r="431" spans="1:26" ht="14.4" x14ac:dyDescent="0.3">
      <c r="A431" s="128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</row>
    <row r="432" spans="1:26" ht="14.4" x14ac:dyDescent="0.3">
      <c r="A432" s="128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</row>
    <row r="433" spans="1:26" ht="14.4" x14ac:dyDescent="0.3">
      <c r="A433" s="128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</row>
    <row r="434" spans="1:26" ht="14.4" x14ac:dyDescent="0.3">
      <c r="A434" s="128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</row>
    <row r="435" spans="1:26" ht="14.4" x14ac:dyDescent="0.3">
      <c r="A435" s="128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</row>
    <row r="436" spans="1:26" ht="14.4" x14ac:dyDescent="0.3">
      <c r="A436" s="128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</row>
    <row r="437" spans="1:26" ht="14.4" x14ac:dyDescent="0.3">
      <c r="A437" s="128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</row>
    <row r="438" spans="1:26" ht="14.4" x14ac:dyDescent="0.3">
      <c r="A438" s="128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</row>
    <row r="439" spans="1:26" ht="14.4" x14ac:dyDescent="0.3">
      <c r="A439" s="128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</row>
    <row r="440" spans="1:26" ht="14.4" x14ac:dyDescent="0.3">
      <c r="A440" s="128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</row>
    <row r="441" spans="1:26" ht="14.4" x14ac:dyDescent="0.3">
      <c r="A441" s="128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</row>
    <row r="442" spans="1:26" ht="14.4" x14ac:dyDescent="0.3">
      <c r="A442" s="128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</row>
    <row r="443" spans="1:26" ht="14.4" x14ac:dyDescent="0.3">
      <c r="A443" s="128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</row>
    <row r="444" spans="1:26" ht="14.4" x14ac:dyDescent="0.3">
      <c r="A444" s="128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</row>
    <row r="445" spans="1:26" ht="14.4" x14ac:dyDescent="0.3">
      <c r="A445" s="128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</row>
    <row r="446" spans="1:26" ht="14.4" x14ac:dyDescent="0.3">
      <c r="A446" s="128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</row>
    <row r="447" spans="1:26" ht="14.4" x14ac:dyDescent="0.3">
      <c r="A447" s="128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</row>
    <row r="448" spans="1:26" ht="14.4" x14ac:dyDescent="0.3">
      <c r="A448" s="128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</row>
    <row r="449" spans="1:26" ht="14.4" x14ac:dyDescent="0.3">
      <c r="A449" s="128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</row>
    <row r="450" spans="1:26" ht="14.4" x14ac:dyDescent="0.3">
      <c r="A450" s="128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</row>
    <row r="451" spans="1:26" ht="14.4" x14ac:dyDescent="0.3">
      <c r="A451" s="128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</row>
    <row r="452" spans="1:26" ht="14.4" x14ac:dyDescent="0.3">
      <c r="A452" s="128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</row>
    <row r="453" spans="1:26" ht="14.4" x14ac:dyDescent="0.3">
      <c r="A453" s="128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</row>
    <row r="454" spans="1:26" ht="14.4" x14ac:dyDescent="0.3">
      <c r="A454" s="128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</row>
    <row r="455" spans="1:26" ht="14.4" x14ac:dyDescent="0.3">
      <c r="A455" s="128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</row>
    <row r="456" spans="1:26" ht="14.4" x14ac:dyDescent="0.3">
      <c r="A456" s="128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</row>
    <row r="457" spans="1:26" ht="14.4" x14ac:dyDescent="0.3">
      <c r="A457" s="128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</row>
    <row r="458" spans="1:26" ht="14.4" x14ac:dyDescent="0.3">
      <c r="A458" s="128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</row>
    <row r="459" spans="1:26" ht="14.4" x14ac:dyDescent="0.3">
      <c r="A459" s="128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</row>
    <row r="460" spans="1:26" ht="14.4" x14ac:dyDescent="0.3">
      <c r="A460" s="128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</row>
    <row r="461" spans="1:26" ht="14.4" x14ac:dyDescent="0.3">
      <c r="A461" s="128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</row>
    <row r="462" spans="1:26" ht="14.4" x14ac:dyDescent="0.3">
      <c r="A462" s="128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</row>
    <row r="463" spans="1:26" ht="14.4" x14ac:dyDescent="0.3">
      <c r="A463" s="128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</row>
    <row r="464" spans="1:26" ht="14.4" x14ac:dyDescent="0.3">
      <c r="A464" s="128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</row>
    <row r="465" spans="1:26" ht="14.4" x14ac:dyDescent="0.3">
      <c r="A465" s="128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</row>
    <row r="466" spans="1:26" ht="14.4" x14ac:dyDescent="0.3">
      <c r="A466" s="128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</row>
    <row r="467" spans="1:26" ht="14.4" x14ac:dyDescent="0.3">
      <c r="A467" s="128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</row>
    <row r="468" spans="1:26" ht="14.4" x14ac:dyDescent="0.3">
      <c r="A468" s="128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</row>
    <row r="469" spans="1:26" ht="14.4" x14ac:dyDescent="0.3">
      <c r="A469" s="128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</row>
    <row r="470" spans="1:26" ht="14.4" x14ac:dyDescent="0.3">
      <c r="A470" s="128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</row>
    <row r="471" spans="1:26" ht="14.4" x14ac:dyDescent="0.3">
      <c r="A471" s="128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</row>
    <row r="472" spans="1:26" ht="14.4" x14ac:dyDescent="0.3">
      <c r="A472" s="128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</row>
    <row r="473" spans="1:26" ht="14.4" x14ac:dyDescent="0.3">
      <c r="A473" s="128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</row>
    <row r="474" spans="1:26" ht="14.4" x14ac:dyDescent="0.3">
      <c r="A474" s="128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</row>
    <row r="475" spans="1:26" ht="14.4" x14ac:dyDescent="0.3">
      <c r="A475" s="128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</row>
    <row r="476" spans="1:26" ht="14.4" x14ac:dyDescent="0.3">
      <c r="A476" s="128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</row>
    <row r="477" spans="1:26" ht="14.4" x14ac:dyDescent="0.3">
      <c r="A477" s="128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</row>
    <row r="478" spans="1:26" ht="14.4" x14ac:dyDescent="0.3">
      <c r="A478" s="128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</row>
    <row r="479" spans="1:26" ht="14.4" x14ac:dyDescent="0.3">
      <c r="A479" s="128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</row>
    <row r="480" spans="1:26" ht="14.4" x14ac:dyDescent="0.3">
      <c r="A480" s="128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</row>
    <row r="481" spans="1:26" ht="14.4" x14ac:dyDescent="0.3">
      <c r="A481" s="128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</row>
    <row r="482" spans="1:26" ht="14.4" x14ac:dyDescent="0.3">
      <c r="A482" s="128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</row>
    <row r="483" spans="1:26" ht="14.4" x14ac:dyDescent="0.3">
      <c r="A483" s="128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</row>
    <row r="484" spans="1:26" ht="14.4" x14ac:dyDescent="0.3">
      <c r="A484" s="128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</row>
    <row r="485" spans="1:26" ht="14.4" x14ac:dyDescent="0.3">
      <c r="A485" s="128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</row>
    <row r="486" spans="1:26" ht="14.4" x14ac:dyDescent="0.3">
      <c r="A486" s="128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</row>
    <row r="487" spans="1:26" ht="14.4" x14ac:dyDescent="0.3">
      <c r="A487" s="128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</row>
    <row r="488" spans="1:26" ht="14.4" x14ac:dyDescent="0.3">
      <c r="A488" s="128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</row>
    <row r="489" spans="1:26" ht="14.4" x14ac:dyDescent="0.3">
      <c r="A489" s="128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</row>
    <row r="490" spans="1:26" ht="14.4" x14ac:dyDescent="0.3">
      <c r="A490" s="128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</row>
    <row r="491" spans="1:26" ht="14.4" x14ac:dyDescent="0.3">
      <c r="A491" s="128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</row>
    <row r="492" spans="1:26" ht="14.4" x14ac:dyDescent="0.3">
      <c r="A492" s="128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</row>
    <row r="493" spans="1:26" ht="14.4" x14ac:dyDescent="0.3">
      <c r="A493" s="128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</row>
    <row r="494" spans="1:26" ht="14.4" x14ac:dyDescent="0.3">
      <c r="A494" s="128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</row>
    <row r="495" spans="1:26" ht="14.4" x14ac:dyDescent="0.3">
      <c r="A495" s="128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</row>
    <row r="496" spans="1:26" ht="14.4" x14ac:dyDescent="0.3">
      <c r="A496" s="128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</row>
    <row r="497" spans="1:26" ht="14.4" x14ac:dyDescent="0.3">
      <c r="A497" s="128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</row>
    <row r="498" spans="1:26" ht="14.4" x14ac:dyDescent="0.3">
      <c r="A498" s="128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</row>
    <row r="499" spans="1:26" ht="14.4" x14ac:dyDescent="0.3">
      <c r="A499" s="128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</row>
    <row r="500" spans="1:26" ht="14.4" x14ac:dyDescent="0.3">
      <c r="A500" s="128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</row>
    <row r="501" spans="1:26" ht="14.4" x14ac:dyDescent="0.3">
      <c r="A501" s="128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</row>
    <row r="502" spans="1:26" ht="14.4" x14ac:dyDescent="0.3">
      <c r="A502" s="128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</row>
    <row r="503" spans="1:26" ht="14.4" x14ac:dyDescent="0.3">
      <c r="A503" s="128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</row>
    <row r="504" spans="1:26" ht="14.4" x14ac:dyDescent="0.3">
      <c r="A504" s="128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</row>
    <row r="505" spans="1:26" ht="14.4" x14ac:dyDescent="0.3">
      <c r="A505" s="128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</row>
    <row r="506" spans="1:26" ht="14.4" x14ac:dyDescent="0.3">
      <c r="A506" s="128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</row>
    <row r="507" spans="1:26" ht="14.4" x14ac:dyDescent="0.3">
      <c r="A507" s="128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</row>
    <row r="508" spans="1:26" ht="14.4" x14ac:dyDescent="0.3">
      <c r="A508" s="128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</row>
    <row r="509" spans="1:26" ht="14.4" x14ac:dyDescent="0.3">
      <c r="A509" s="128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</row>
    <row r="510" spans="1:26" ht="14.4" x14ac:dyDescent="0.3">
      <c r="A510" s="128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</row>
    <row r="511" spans="1:26" ht="14.4" x14ac:dyDescent="0.3">
      <c r="A511" s="128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</row>
    <row r="512" spans="1:26" ht="14.4" x14ac:dyDescent="0.3">
      <c r="A512" s="128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</row>
    <row r="513" spans="1:26" ht="14.4" x14ac:dyDescent="0.3">
      <c r="A513" s="128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</row>
    <row r="514" spans="1:26" ht="14.4" x14ac:dyDescent="0.3">
      <c r="A514" s="128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</row>
    <row r="515" spans="1:26" ht="14.4" x14ac:dyDescent="0.3">
      <c r="A515" s="128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</row>
    <row r="516" spans="1:26" ht="14.4" x14ac:dyDescent="0.3">
      <c r="A516" s="128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</row>
    <row r="517" spans="1:26" ht="14.4" x14ac:dyDescent="0.3">
      <c r="A517" s="128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</row>
    <row r="518" spans="1:26" ht="14.4" x14ac:dyDescent="0.3">
      <c r="A518" s="128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</row>
    <row r="519" spans="1:26" ht="14.4" x14ac:dyDescent="0.3">
      <c r="A519" s="128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</row>
    <row r="520" spans="1:26" ht="14.4" x14ac:dyDescent="0.3">
      <c r="A520" s="128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</row>
    <row r="521" spans="1:26" ht="14.4" x14ac:dyDescent="0.3">
      <c r="A521" s="128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</row>
    <row r="522" spans="1:26" ht="14.4" x14ac:dyDescent="0.3">
      <c r="A522" s="128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</row>
    <row r="523" spans="1:26" ht="14.4" x14ac:dyDescent="0.3">
      <c r="A523" s="128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</row>
    <row r="524" spans="1:26" ht="14.4" x14ac:dyDescent="0.3">
      <c r="A524" s="128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</row>
    <row r="525" spans="1:26" ht="14.4" x14ac:dyDescent="0.3">
      <c r="A525" s="128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</row>
    <row r="526" spans="1:26" ht="14.4" x14ac:dyDescent="0.3">
      <c r="A526" s="128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</row>
    <row r="527" spans="1:26" ht="14.4" x14ac:dyDescent="0.3">
      <c r="A527" s="128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</row>
    <row r="528" spans="1:26" ht="14.4" x14ac:dyDescent="0.3">
      <c r="A528" s="128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</row>
    <row r="529" spans="1:26" ht="14.4" x14ac:dyDescent="0.3">
      <c r="A529" s="128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</row>
    <row r="530" spans="1:26" ht="14.4" x14ac:dyDescent="0.3">
      <c r="A530" s="128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</row>
    <row r="531" spans="1:26" ht="14.4" x14ac:dyDescent="0.3">
      <c r="A531" s="128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</row>
    <row r="532" spans="1:26" ht="14.4" x14ac:dyDescent="0.3">
      <c r="A532" s="128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</row>
    <row r="533" spans="1:26" ht="14.4" x14ac:dyDescent="0.3">
      <c r="A533" s="128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</row>
    <row r="534" spans="1:26" ht="14.4" x14ac:dyDescent="0.3">
      <c r="A534" s="128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</row>
    <row r="535" spans="1:26" ht="14.4" x14ac:dyDescent="0.3">
      <c r="A535" s="128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</row>
    <row r="536" spans="1:26" ht="14.4" x14ac:dyDescent="0.3">
      <c r="A536" s="128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</row>
    <row r="537" spans="1:26" ht="14.4" x14ac:dyDescent="0.3">
      <c r="A537" s="128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</row>
    <row r="538" spans="1:26" ht="14.4" x14ac:dyDescent="0.3">
      <c r="A538" s="128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</row>
    <row r="539" spans="1:26" ht="14.4" x14ac:dyDescent="0.3">
      <c r="A539" s="128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</row>
    <row r="540" spans="1:26" ht="14.4" x14ac:dyDescent="0.3">
      <c r="A540" s="128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</row>
    <row r="541" spans="1:26" ht="14.4" x14ac:dyDescent="0.3">
      <c r="A541" s="128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</row>
    <row r="542" spans="1:26" ht="14.4" x14ac:dyDescent="0.3">
      <c r="A542" s="128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</row>
    <row r="543" spans="1:26" ht="14.4" x14ac:dyDescent="0.3">
      <c r="A543" s="128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</row>
    <row r="544" spans="1:26" ht="14.4" x14ac:dyDescent="0.3">
      <c r="A544" s="128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</row>
    <row r="545" spans="1:26" ht="14.4" x14ac:dyDescent="0.3">
      <c r="A545" s="128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</row>
    <row r="546" spans="1:26" ht="14.4" x14ac:dyDescent="0.3">
      <c r="A546" s="128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</row>
    <row r="547" spans="1:26" ht="14.4" x14ac:dyDescent="0.3">
      <c r="A547" s="128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</row>
    <row r="548" spans="1:26" ht="14.4" x14ac:dyDescent="0.3">
      <c r="A548" s="128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</row>
    <row r="549" spans="1:26" ht="14.4" x14ac:dyDescent="0.3">
      <c r="A549" s="128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</row>
    <row r="550" spans="1:26" ht="14.4" x14ac:dyDescent="0.3">
      <c r="A550" s="128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</row>
    <row r="551" spans="1:26" ht="14.4" x14ac:dyDescent="0.3">
      <c r="A551" s="128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</row>
    <row r="552" spans="1:26" ht="14.4" x14ac:dyDescent="0.3">
      <c r="A552" s="128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</row>
    <row r="553" spans="1:26" ht="14.4" x14ac:dyDescent="0.3">
      <c r="A553" s="128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</row>
    <row r="554" spans="1:26" ht="14.4" x14ac:dyDescent="0.3">
      <c r="A554" s="128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</row>
    <row r="555" spans="1:26" ht="14.4" x14ac:dyDescent="0.3">
      <c r="A555" s="128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</row>
    <row r="556" spans="1:26" ht="14.4" x14ac:dyDescent="0.3">
      <c r="A556" s="128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</row>
    <row r="557" spans="1:26" ht="14.4" x14ac:dyDescent="0.3">
      <c r="A557" s="128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</row>
    <row r="558" spans="1:26" ht="14.4" x14ac:dyDescent="0.3">
      <c r="A558" s="128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</row>
    <row r="559" spans="1:26" ht="14.4" x14ac:dyDescent="0.3">
      <c r="A559" s="128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</row>
    <row r="560" spans="1:26" ht="14.4" x14ac:dyDescent="0.3">
      <c r="A560" s="128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</row>
    <row r="561" spans="1:26" ht="14.4" x14ac:dyDescent="0.3">
      <c r="A561" s="128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</row>
    <row r="562" spans="1:26" ht="14.4" x14ac:dyDescent="0.3">
      <c r="A562" s="128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</row>
    <row r="563" spans="1:26" ht="14.4" x14ac:dyDescent="0.3">
      <c r="A563" s="128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</row>
    <row r="564" spans="1:26" ht="14.4" x14ac:dyDescent="0.3">
      <c r="A564" s="128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</row>
    <row r="565" spans="1:26" ht="14.4" x14ac:dyDescent="0.3">
      <c r="A565" s="128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</row>
    <row r="566" spans="1:26" ht="14.4" x14ac:dyDescent="0.3">
      <c r="A566" s="128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</row>
    <row r="567" spans="1:26" ht="14.4" x14ac:dyDescent="0.3">
      <c r="A567" s="128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</row>
    <row r="568" spans="1:26" ht="14.4" x14ac:dyDescent="0.3">
      <c r="A568" s="128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</row>
    <row r="569" spans="1:26" ht="14.4" x14ac:dyDescent="0.3">
      <c r="A569" s="128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</row>
    <row r="570" spans="1:26" ht="14.4" x14ac:dyDescent="0.3">
      <c r="A570" s="128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</row>
    <row r="571" spans="1:26" ht="14.4" x14ac:dyDescent="0.3">
      <c r="A571" s="128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</row>
    <row r="572" spans="1:26" ht="14.4" x14ac:dyDescent="0.3">
      <c r="A572" s="128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</row>
    <row r="573" spans="1:26" ht="14.4" x14ac:dyDescent="0.3">
      <c r="A573" s="128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</row>
    <row r="574" spans="1:26" ht="14.4" x14ac:dyDescent="0.3">
      <c r="A574" s="128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</row>
    <row r="575" spans="1:26" ht="14.4" x14ac:dyDescent="0.3">
      <c r="A575" s="128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</row>
    <row r="576" spans="1:26" ht="14.4" x14ac:dyDescent="0.3">
      <c r="A576" s="128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</row>
    <row r="577" spans="1:26" ht="14.4" x14ac:dyDescent="0.3">
      <c r="A577" s="128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</row>
    <row r="578" spans="1:26" ht="14.4" x14ac:dyDescent="0.3">
      <c r="A578" s="128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</row>
    <row r="579" spans="1:26" ht="14.4" x14ac:dyDescent="0.3">
      <c r="A579" s="128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</row>
    <row r="580" spans="1:26" ht="14.4" x14ac:dyDescent="0.3">
      <c r="A580" s="128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</row>
    <row r="581" spans="1:26" ht="14.4" x14ac:dyDescent="0.3">
      <c r="A581" s="128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</row>
    <row r="582" spans="1:26" ht="14.4" x14ac:dyDescent="0.3">
      <c r="A582" s="128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</row>
    <row r="583" spans="1:26" ht="14.4" x14ac:dyDescent="0.3">
      <c r="A583" s="128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</row>
    <row r="584" spans="1:26" ht="14.4" x14ac:dyDescent="0.3">
      <c r="A584" s="128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</row>
    <row r="585" spans="1:26" ht="14.4" x14ac:dyDescent="0.3">
      <c r="A585" s="128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</row>
    <row r="586" spans="1:26" ht="14.4" x14ac:dyDescent="0.3">
      <c r="A586" s="128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</row>
    <row r="587" spans="1:26" ht="14.4" x14ac:dyDescent="0.3">
      <c r="A587" s="128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</row>
    <row r="588" spans="1:26" ht="14.4" x14ac:dyDescent="0.3">
      <c r="A588" s="128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</row>
    <row r="589" spans="1:26" ht="14.4" x14ac:dyDescent="0.3">
      <c r="A589" s="128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</row>
    <row r="590" spans="1:26" ht="14.4" x14ac:dyDescent="0.3">
      <c r="A590" s="128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</row>
    <row r="591" spans="1:26" ht="14.4" x14ac:dyDescent="0.3">
      <c r="A591" s="128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</row>
    <row r="592" spans="1:26" ht="14.4" x14ac:dyDescent="0.3">
      <c r="A592" s="128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</row>
    <row r="593" spans="1:26" ht="14.4" x14ac:dyDescent="0.3">
      <c r="A593" s="128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</row>
    <row r="594" spans="1:26" ht="14.4" x14ac:dyDescent="0.3">
      <c r="A594" s="128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</row>
    <row r="595" spans="1:26" ht="14.4" x14ac:dyDescent="0.3">
      <c r="A595" s="128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</row>
    <row r="596" spans="1:26" ht="14.4" x14ac:dyDescent="0.3">
      <c r="A596" s="128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</row>
    <row r="597" spans="1:26" ht="14.4" x14ac:dyDescent="0.3">
      <c r="A597" s="128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</row>
    <row r="598" spans="1:26" ht="14.4" x14ac:dyDescent="0.3">
      <c r="A598" s="128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</row>
    <row r="599" spans="1:26" ht="14.4" x14ac:dyDescent="0.3">
      <c r="A599" s="128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</row>
    <row r="600" spans="1:26" ht="14.4" x14ac:dyDescent="0.3">
      <c r="A600" s="128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</row>
    <row r="601" spans="1:26" ht="14.4" x14ac:dyDescent="0.3">
      <c r="A601" s="128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</row>
    <row r="602" spans="1:26" ht="14.4" x14ac:dyDescent="0.3">
      <c r="A602" s="128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</row>
    <row r="603" spans="1:26" ht="14.4" x14ac:dyDescent="0.3">
      <c r="A603" s="128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</row>
    <row r="604" spans="1:26" ht="14.4" x14ac:dyDescent="0.3">
      <c r="A604" s="128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</row>
    <row r="605" spans="1:26" ht="14.4" x14ac:dyDescent="0.3">
      <c r="A605" s="128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</row>
    <row r="606" spans="1:26" ht="14.4" x14ac:dyDescent="0.3">
      <c r="A606" s="128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</row>
    <row r="607" spans="1:26" ht="14.4" x14ac:dyDescent="0.3">
      <c r="A607" s="128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</row>
    <row r="608" spans="1:26" ht="14.4" x14ac:dyDescent="0.3">
      <c r="A608" s="128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</row>
    <row r="609" spans="1:26" ht="14.4" x14ac:dyDescent="0.3">
      <c r="A609" s="128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</row>
    <row r="610" spans="1:26" ht="14.4" x14ac:dyDescent="0.3">
      <c r="A610" s="128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</row>
    <row r="611" spans="1:26" ht="14.4" x14ac:dyDescent="0.3">
      <c r="A611" s="128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</row>
    <row r="612" spans="1:26" ht="14.4" x14ac:dyDescent="0.3">
      <c r="A612" s="128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</row>
    <row r="613" spans="1:26" ht="14.4" x14ac:dyDescent="0.3">
      <c r="A613" s="128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</row>
    <row r="614" spans="1:26" ht="14.4" x14ac:dyDescent="0.3">
      <c r="A614" s="128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</row>
    <row r="615" spans="1:26" ht="14.4" x14ac:dyDescent="0.3">
      <c r="A615" s="128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</row>
    <row r="616" spans="1:26" ht="14.4" x14ac:dyDescent="0.3">
      <c r="A616" s="128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</row>
    <row r="617" spans="1:26" ht="14.4" x14ac:dyDescent="0.3">
      <c r="A617" s="128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</row>
    <row r="618" spans="1:26" ht="14.4" x14ac:dyDescent="0.3">
      <c r="A618" s="128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</row>
    <row r="619" spans="1:26" ht="14.4" x14ac:dyDescent="0.3">
      <c r="A619" s="128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</row>
    <row r="620" spans="1:26" ht="14.4" x14ac:dyDescent="0.3">
      <c r="A620" s="128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</row>
    <row r="621" spans="1:26" ht="14.4" x14ac:dyDescent="0.3">
      <c r="A621" s="128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</row>
    <row r="622" spans="1:26" ht="14.4" x14ac:dyDescent="0.3">
      <c r="A622" s="128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</row>
    <row r="623" spans="1:26" ht="14.4" x14ac:dyDescent="0.3">
      <c r="A623" s="128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</row>
    <row r="624" spans="1:26" ht="14.4" x14ac:dyDescent="0.3">
      <c r="A624" s="128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</row>
    <row r="625" spans="1:26" ht="14.4" x14ac:dyDescent="0.3">
      <c r="A625" s="128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</row>
    <row r="626" spans="1:26" ht="14.4" x14ac:dyDescent="0.3">
      <c r="A626" s="128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</row>
    <row r="627" spans="1:26" ht="14.4" x14ac:dyDescent="0.3">
      <c r="A627" s="128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</row>
    <row r="628" spans="1:26" ht="14.4" x14ac:dyDescent="0.3">
      <c r="A628" s="128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</row>
    <row r="629" spans="1:26" ht="14.4" x14ac:dyDescent="0.3">
      <c r="A629" s="128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</row>
    <row r="630" spans="1:26" ht="14.4" x14ac:dyDescent="0.3">
      <c r="A630" s="128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</row>
    <row r="631" spans="1:26" ht="14.4" x14ac:dyDescent="0.3">
      <c r="A631" s="128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</row>
    <row r="632" spans="1:26" ht="14.4" x14ac:dyDescent="0.3">
      <c r="A632" s="128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</row>
    <row r="633" spans="1:26" ht="14.4" x14ac:dyDescent="0.3">
      <c r="A633" s="128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</row>
    <row r="634" spans="1:26" ht="14.4" x14ac:dyDescent="0.3">
      <c r="A634" s="128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</row>
    <row r="635" spans="1:26" ht="14.4" x14ac:dyDescent="0.3">
      <c r="A635" s="128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</row>
    <row r="636" spans="1:26" ht="14.4" x14ac:dyDescent="0.3">
      <c r="A636" s="128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</row>
    <row r="637" spans="1:26" ht="14.4" x14ac:dyDescent="0.3">
      <c r="A637" s="128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</row>
    <row r="638" spans="1:26" ht="14.4" x14ac:dyDescent="0.3">
      <c r="A638" s="128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</row>
    <row r="639" spans="1:26" ht="14.4" x14ac:dyDescent="0.3">
      <c r="A639" s="128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</row>
    <row r="640" spans="1:26" ht="14.4" x14ac:dyDescent="0.3">
      <c r="A640" s="128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</row>
    <row r="641" spans="1:26" ht="14.4" x14ac:dyDescent="0.3">
      <c r="A641" s="128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</row>
    <row r="642" spans="1:26" ht="14.4" x14ac:dyDescent="0.3">
      <c r="A642" s="128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</row>
    <row r="643" spans="1:26" ht="14.4" x14ac:dyDescent="0.3">
      <c r="A643" s="128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</row>
    <row r="644" spans="1:26" ht="14.4" x14ac:dyDescent="0.3">
      <c r="A644" s="128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</row>
    <row r="645" spans="1:26" ht="14.4" x14ac:dyDescent="0.3">
      <c r="A645" s="128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</row>
    <row r="646" spans="1:26" ht="14.4" x14ac:dyDescent="0.3">
      <c r="A646" s="128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</row>
    <row r="647" spans="1:26" ht="14.4" x14ac:dyDescent="0.3">
      <c r="A647" s="128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</row>
    <row r="648" spans="1:26" ht="14.4" x14ac:dyDescent="0.3">
      <c r="A648" s="128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</row>
    <row r="649" spans="1:26" ht="14.4" x14ac:dyDescent="0.3">
      <c r="A649" s="128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</row>
    <row r="650" spans="1:26" ht="14.4" x14ac:dyDescent="0.3">
      <c r="A650" s="128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</row>
    <row r="651" spans="1:26" ht="14.4" x14ac:dyDescent="0.3">
      <c r="A651" s="128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</row>
    <row r="652" spans="1:26" ht="14.4" x14ac:dyDescent="0.3">
      <c r="A652" s="128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</row>
    <row r="653" spans="1:26" ht="14.4" x14ac:dyDescent="0.3">
      <c r="A653" s="128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</row>
    <row r="654" spans="1:26" ht="14.4" x14ac:dyDescent="0.3">
      <c r="A654" s="128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</row>
    <row r="655" spans="1:26" ht="14.4" x14ac:dyDescent="0.3">
      <c r="A655" s="128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</row>
    <row r="656" spans="1:26" ht="14.4" x14ac:dyDescent="0.3">
      <c r="A656" s="128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</row>
    <row r="657" spans="1:26" ht="14.4" x14ac:dyDescent="0.3">
      <c r="A657" s="128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</row>
    <row r="658" spans="1:26" ht="14.4" x14ac:dyDescent="0.3">
      <c r="A658" s="128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</row>
    <row r="659" spans="1:26" ht="14.4" x14ac:dyDescent="0.3">
      <c r="A659" s="128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</row>
    <row r="660" spans="1:26" ht="14.4" x14ac:dyDescent="0.3">
      <c r="A660" s="128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</row>
    <row r="661" spans="1:26" ht="14.4" x14ac:dyDescent="0.3">
      <c r="A661" s="128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</row>
    <row r="662" spans="1:26" ht="14.4" x14ac:dyDescent="0.3">
      <c r="A662" s="128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</row>
    <row r="663" spans="1:26" ht="14.4" x14ac:dyDescent="0.3">
      <c r="A663" s="128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</row>
    <row r="664" spans="1:26" ht="14.4" x14ac:dyDescent="0.3">
      <c r="A664" s="128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</row>
    <row r="665" spans="1:26" ht="14.4" x14ac:dyDescent="0.3">
      <c r="A665" s="128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</row>
    <row r="666" spans="1:26" ht="14.4" x14ac:dyDescent="0.3">
      <c r="A666" s="128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</row>
    <row r="667" spans="1:26" ht="14.4" x14ac:dyDescent="0.3">
      <c r="A667" s="128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</row>
    <row r="668" spans="1:26" ht="14.4" x14ac:dyDescent="0.3">
      <c r="A668" s="128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</row>
    <row r="669" spans="1:26" ht="14.4" x14ac:dyDescent="0.3">
      <c r="A669" s="128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</row>
    <row r="670" spans="1:26" ht="14.4" x14ac:dyDescent="0.3">
      <c r="A670" s="128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</row>
    <row r="671" spans="1:26" ht="14.4" x14ac:dyDescent="0.3">
      <c r="A671" s="128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</row>
    <row r="672" spans="1:26" ht="14.4" x14ac:dyDescent="0.3">
      <c r="A672" s="128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</row>
    <row r="673" spans="1:26" ht="14.4" x14ac:dyDescent="0.3">
      <c r="A673" s="128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</row>
    <row r="674" spans="1:26" ht="14.4" x14ac:dyDescent="0.3">
      <c r="A674" s="128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</row>
    <row r="675" spans="1:26" ht="14.4" x14ac:dyDescent="0.3">
      <c r="A675" s="128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</row>
    <row r="676" spans="1:26" ht="14.4" x14ac:dyDescent="0.3">
      <c r="A676" s="128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</row>
    <row r="677" spans="1:26" ht="14.4" x14ac:dyDescent="0.3">
      <c r="A677" s="128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</row>
    <row r="678" spans="1:26" ht="14.4" x14ac:dyDescent="0.3">
      <c r="A678" s="128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</row>
    <row r="679" spans="1:26" ht="14.4" x14ac:dyDescent="0.3">
      <c r="A679" s="128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</row>
    <row r="680" spans="1:26" ht="14.4" x14ac:dyDescent="0.3">
      <c r="A680" s="128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</row>
    <row r="681" spans="1:26" ht="14.4" x14ac:dyDescent="0.3">
      <c r="A681" s="128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</row>
    <row r="682" spans="1:26" ht="14.4" x14ac:dyDescent="0.3">
      <c r="A682" s="128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</row>
    <row r="683" spans="1:26" ht="14.4" x14ac:dyDescent="0.3">
      <c r="A683" s="128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</row>
    <row r="684" spans="1:26" ht="14.4" x14ac:dyDescent="0.3">
      <c r="A684" s="128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</row>
    <row r="685" spans="1:26" ht="14.4" x14ac:dyDescent="0.3">
      <c r="A685" s="128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</row>
    <row r="686" spans="1:26" ht="14.4" x14ac:dyDescent="0.3">
      <c r="A686" s="128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</row>
    <row r="687" spans="1:26" ht="14.4" x14ac:dyDescent="0.3">
      <c r="A687" s="128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</row>
    <row r="688" spans="1:26" ht="14.4" x14ac:dyDescent="0.3">
      <c r="A688" s="128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</row>
    <row r="689" spans="1:26" ht="14.4" x14ac:dyDescent="0.3">
      <c r="A689" s="128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</row>
    <row r="690" spans="1:26" ht="14.4" x14ac:dyDescent="0.3">
      <c r="A690" s="128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</row>
    <row r="691" spans="1:26" ht="14.4" x14ac:dyDescent="0.3">
      <c r="A691" s="128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</row>
    <row r="692" spans="1:26" ht="14.4" x14ac:dyDescent="0.3">
      <c r="A692" s="128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</row>
    <row r="693" spans="1:26" ht="14.4" x14ac:dyDescent="0.3">
      <c r="A693" s="128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</row>
    <row r="694" spans="1:26" ht="14.4" x14ac:dyDescent="0.3">
      <c r="A694" s="128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</row>
    <row r="695" spans="1:26" ht="14.4" x14ac:dyDescent="0.3">
      <c r="A695" s="128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</row>
    <row r="696" spans="1:26" ht="14.4" x14ac:dyDescent="0.3">
      <c r="A696" s="128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</row>
    <row r="697" spans="1:26" ht="14.4" x14ac:dyDescent="0.3">
      <c r="A697" s="128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</row>
    <row r="698" spans="1:26" ht="14.4" x14ac:dyDescent="0.3">
      <c r="A698" s="128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</row>
    <row r="699" spans="1:26" ht="14.4" x14ac:dyDescent="0.3">
      <c r="A699" s="128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</row>
    <row r="700" spans="1:26" ht="14.4" x14ac:dyDescent="0.3">
      <c r="A700" s="128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</row>
    <row r="701" spans="1:26" ht="14.4" x14ac:dyDescent="0.3">
      <c r="A701" s="128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</row>
    <row r="702" spans="1:26" ht="14.4" x14ac:dyDescent="0.3">
      <c r="A702" s="128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</row>
    <row r="703" spans="1:26" ht="14.4" x14ac:dyDescent="0.3">
      <c r="A703" s="128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</row>
    <row r="704" spans="1:26" ht="14.4" x14ac:dyDescent="0.3">
      <c r="A704" s="128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</row>
    <row r="705" spans="1:26" ht="14.4" x14ac:dyDescent="0.3">
      <c r="A705" s="128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</row>
    <row r="706" spans="1:26" ht="14.4" x14ac:dyDescent="0.3">
      <c r="A706" s="128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</row>
    <row r="707" spans="1:26" ht="14.4" x14ac:dyDescent="0.3">
      <c r="A707" s="128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</row>
    <row r="708" spans="1:26" ht="14.4" x14ac:dyDescent="0.3">
      <c r="A708" s="128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</row>
    <row r="709" spans="1:26" ht="14.4" x14ac:dyDescent="0.3">
      <c r="A709" s="128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</row>
    <row r="710" spans="1:26" ht="14.4" x14ac:dyDescent="0.3">
      <c r="A710" s="128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</row>
    <row r="711" spans="1:26" ht="14.4" x14ac:dyDescent="0.3">
      <c r="A711" s="128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</row>
    <row r="712" spans="1:26" ht="14.4" x14ac:dyDescent="0.3">
      <c r="A712" s="128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</row>
    <row r="713" spans="1:26" ht="14.4" x14ac:dyDescent="0.3">
      <c r="A713" s="128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</row>
    <row r="714" spans="1:26" ht="14.4" x14ac:dyDescent="0.3">
      <c r="A714" s="128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</row>
    <row r="715" spans="1:26" ht="14.4" x14ac:dyDescent="0.3">
      <c r="A715" s="128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</row>
    <row r="716" spans="1:26" ht="14.4" x14ac:dyDescent="0.3">
      <c r="A716" s="128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</row>
    <row r="717" spans="1:26" ht="14.4" x14ac:dyDescent="0.3">
      <c r="A717" s="128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</row>
    <row r="718" spans="1:26" ht="14.4" x14ac:dyDescent="0.3">
      <c r="A718" s="128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</row>
    <row r="719" spans="1:26" ht="14.4" x14ac:dyDescent="0.3">
      <c r="A719" s="128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</row>
    <row r="720" spans="1:26" ht="14.4" x14ac:dyDescent="0.3">
      <c r="A720" s="128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</row>
    <row r="721" spans="1:26" ht="14.4" x14ac:dyDescent="0.3">
      <c r="A721" s="128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</row>
    <row r="722" spans="1:26" ht="14.4" x14ac:dyDescent="0.3">
      <c r="A722" s="128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</row>
    <row r="723" spans="1:26" ht="14.4" x14ac:dyDescent="0.3">
      <c r="A723" s="128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</row>
    <row r="724" spans="1:26" ht="14.4" x14ac:dyDescent="0.3">
      <c r="A724" s="128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</row>
    <row r="725" spans="1:26" ht="14.4" x14ac:dyDescent="0.3">
      <c r="A725" s="128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</row>
    <row r="726" spans="1:26" ht="14.4" x14ac:dyDescent="0.3">
      <c r="A726" s="128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</row>
    <row r="727" spans="1:26" ht="14.4" x14ac:dyDescent="0.3">
      <c r="A727" s="128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</row>
    <row r="728" spans="1:26" ht="14.4" x14ac:dyDescent="0.3">
      <c r="A728" s="128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</row>
    <row r="729" spans="1:26" ht="14.4" x14ac:dyDescent="0.3">
      <c r="A729" s="128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</row>
    <row r="730" spans="1:26" ht="14.4" x14ac:dyDescent="0.3">
      <c r="A730" s="128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</row>
    <row r="731" spans="1:26" ht="14.4" x14ac:dyDescent="0.3">
      <c r="A731" s="128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</row>
    <row r="732" spans="1:26" ht="14.4" x14ac:dyDescent="0.3">
      <c r="A732" s="128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</row>
    <row r="733" spans="1:26" ht="14.4" x14ac:dyDescent="0.3">
      <c r="A733" s="128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</row>
    <row r="734" spans="1:26" ht="14.4" x14ac:dyDescent="0.3">
      <c r="A734" s="128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</row>
    <row r="735" spans="1:26" ht="14.4" x14ac:dyDescent="0.3">
      <c r="A735" s="128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</row>
    <row r="736" spans="1:26" ht="14.4" x14ac:dyDescent="0.3">
      <c r="A736" s="128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</row>
    <row r="737" spans="1:26" ht="14.4" x14ac:dyDescent="0.3">
      <c r="A737" s="128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</row>
    <row r="738" spans="1:26" ht="14.4" x14ac:dyDescent="0.3">
      <c r="A738" s="128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</row>
    <row r="739" spans="1:26" ht="14.4" x14ac:dyDescent="0.3">
      <c r="A739" s="128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</row>
    <row r="740" spans="1:26" ht="14.4" x14ac:dyDescent="0.3">
      <c r="A740" s="128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</row>
    <row r="741" spans="1:26" ht="14.4" x14ac:dyDescent="0.3">
      <c r="A741" s="128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</row>
    <row r="742" spans="1:26" ht="14.4" x14ac:dyDescent="0.3">
      <c r="A742" s="128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</row>
    <row r="743" spans="1:26" ht="14.4" x14ac:dyDescent="0.3">
      <c r="A743" s="128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</row>
    <row r="744" spans="1:26" ht="14.4" x14ac:dyDescent="0.3">
      <c r="A744" s="128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</row>
    <row r="745" spans="1:26" ht="14.4" x14ac:dyDescent="0.3">
      <c r="A745" s="128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</row>
    <row r="746" spans="1:26" ht="14.4" x14ac:dyDescent="0.3">
      <c r="A746" s="128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</row>
    <row r="747" spans="1:26" ht="14.4" x14ac:dyDescent="0.3">
      <c r="A747" s="128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</row>
    <row r="748" spans="1:26" ht="14.4" x14ac:dyDescent="0.3">
      <c r="A748" s="128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</row>
    <row r="749" spans="1:26" ht="14.4" x14ac:dyDescent="0.3">
      <c r="A749" s="128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</row>
    <row r="750" spans="1:26" ht="14.4" x14ac:dyDescent="0.3">
      <c r="A750" s="128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</row>
    <row r="751" spans="1:26" ht="14.4" x14ac:dyDescent="0.3">
      <c r="A751" s="128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</row>
    <row r="752" spans="1:26" ht="14.4" x14ac:dyDescent="0.3">
      <c r="A752" s="128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</row>
    <row r="753" spans="1:26" ht="14.4" x14ac:dyDescent="0.3">
      <c r="A753" s="128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</row>
    <row r="754" spans="1:26" ht="14.4" x14ac:dyDescent="0.3">
      <c r="A754" s="128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</row>
    <row r="755" spans="1:26" ht="14.4" x14ac:dyDescent="0.3">
      <c r="A755" s="128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</row>
    <row r="756" spans="1:26" ht="14.4" x14ac:dyDescent="0.3">
      <c r="A756" s="128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</row>
    <row r="757" spans="1:26" ht="14.4" x14ac:dyDescent="0.3">
      <c r="A757" s="128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</row>
    <row r="758" spans="1:26" ht="14.4" x14ac:dyDescent="0.3">
      <c r="A758" s="128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</row>
    <row r="759" spans="1:26" ht="14.4" x14ac:dyDescent="0.3">
      <c r="A759" s="128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</row>
    <row r="760" spans="1:26" ht="14.4" x14ac:dyDescent="0.3">
      <c r="A760" s="128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</row>
    <row r="761" spans="1:26" ht="14.4" x14ac:dyDescent="0.3">
      <c r="A761" s="128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</row>
    <row r="762" spans="1:26" ht="14.4" x14ac:dyDescent="0.3">
      <c r="A762" s="128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</row>
    <row r="763" spans="1:26" ht="14.4" x14ac:dyDescent="0.3">
      <c r="A763" s="128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</row>
    <row r="764" spans="1:26" ht="14.4" x14ac:dyDescent="0.3">
      <c r="A764" s="128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</row>
    <row r="765" spans="1:26" ht="14.4" x14ac:dyDescent="0.3">
      <c r="A765" s="128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</row>
    <row r="766" spans="1:26" ht="14.4" x14ac:dyDescent="0.3">
      <c r="A766" s="128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</row>
    <row r="767" spans="1:26" ht="14.4" x14ac:dyDescent="0.3">
      <c r="A767" s="128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</row>
    <row r="768" spans="1:26" ht="14.4" x14ac:dyDescent="0.3">
      <c r="A768" s="128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</row>
    <row r="769" spans="1:26" ht="14.4" x14ac:dyDescent="0.3">
      <c r="A769" s="128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</row>
    <row r="770" spans="1:26" ht="14.4" x14ac:dyDescent="0.3">
      <c r="A770" s="128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</row>
    <row r="771" spans="1:26" ht="14.4" x14ac:dyDescent="0.3">
      <c r="A771" s="128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</row>
    <row r="772" spans="1:26" ht="14.4" x14ac:dyDescent="0.3">
      <c r="A772" s="128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</row>
    <row r="773" spans="1:26" ht="14.4" x14ac:dyDescent="0.3">
      <c r="A773" s="128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</row>
    <row r="774" spans="1:26" ht="14.4" x14ac:dyDescent="0.3">
      <c r="A774" s="128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</row>
    <row r="775" spans="1:26" ht="14.4" x14ac:dyDescent="0.3">
      <c r="A775" s="128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</row>
    <row r="776" spans="1:26" ht="14.4" x14ac:dyDescent="0.3">
      <c r="A776" s="128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</row>
    <row r="777" spans="1:26" ht="14.4" x14ac:dyDescent="0.3">
      <c r="A777" s="128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</row>
    <row r="778" spans="1:26" ht="14.4" x14ac:dyDescent="0.3">
      <c r="A778" s="128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</row>
    <row r="779" spans="1:26" ht="14.4" x14ac:dyDescent="0.3">
      <c r="A779" s="128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</row>
    <row r="780" spans="1:26" ht="14.4" x14ac:dyDescent="0.3">
      <c r="A780" s="128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</row>
    <row r="781" spans="1:26" ht="14.4" x14ac:dyDescent="0.3">
      <c r="A781" s="128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</row>
    <row r="782" spans="1:26" ht="14.4" x14ac:dyDescent="0.3">
      <c r="A782" s="128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</row>
    <row r="783" spans="1:26" ht="14.4" x14ac:dyDescent="0.3">
      <c r="A783" s="128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</row>
    <row r="784" spans="1:26" ht="14.4" x14ac:dyDescent="0.3">
      <c r="A784" s="128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</row>
    <row r="785" spans="1:26" ht="14.4" x14ac:dyDescent="0.3">
      <c r="A785" s="128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</row>
    <row r="786" spans="1:26" ht="14.4" x14ac:dyDescent="0.3">
      <c r="A786" s="128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</row>
    <row r="787" spans="1:26" ht="14.4" x14ac:dyDescent="0.3">
      <c r="A787" s="128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</row>
    <row r="788" spans="1:26" ht="14.4" x14ac:dyDescent="0.3">
      <c r="A788" s="128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</row>
    <row r="789" spans="1:26" ht="14.4" x14ac:dyDescent="0.3">
      <c r="A789" s="128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</row>
    <row r="790" spans="1:26" ht="14.4" x14ac:dyDescent="0.3">
      <c r="A790" s="128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</row>
    <row r="791" spans="1:26" ht="14.4" x14ac:dyDescent="0.3">
      <c r="A791" s="128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</row>
    <row r="792" spans="1:26" ht="14.4" x14ac:dyDescent="0.3">
      <c r="A792" s="128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</row>
    <row r="793" spans="1:26" ht="14.4" x14ac:dyDescent="0.3">
      <c r="A793" s="128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</row>
    <row r="794" spans="1:26" ht="14.4" x14ac:dyDescent="0.3">
      <c r="A794" s="128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</row>
    <row r="795" spans="1:26" ht="14.4" x14ac:dyDescent="0.3">
      <c r="A795" s="128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</row>
    <row r="796" spans="1:26" ht="14.4" x14ac:dyDescent="0.3">
      <c r="A796" s="128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</row>
    <row r="797" spans="1:26" ht="14.4" x14ac:dyDescent="0.3">
      <c r="A797" s="128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</row>
    <row r="798" spans="1:26" ht="14.4" x14ac:dyDescent="0.3">
      <c r="A798" s="128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</row>
    <row r="799" spans="1:26" ht="14.4" x14ac:dyDescent="0.3">
      <c r="A799" s="128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</row>
    <row r="800" spans="1:26" ht="14.4" x14ac:dyDescent="0.3">
      <c r="A800" s="128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</row>
    <row r="801" spans="1:26" ht="14.4" x14ac:dyDescent="0.3">
      <c r="A801" s="128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</row>
    <row r="802" spans="1:26" ht="14.4" x14ac:dyDescent="0.3">
      <c r="A802" s="128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</row>
    <row r="803" spans="1:26" ht="14.4" x14ac:dyDescent="0.3">
      <c r="A803" s="128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</row>
    <row r="804" spans="1:26" ht="14.4" x14ac:dyDescent="0.3">
      <c r="A804" s="128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</row>
    <row r="805" spans="1:26" ht="14.4" x14ac:dyDescent="0.3">
      <c r="A805" s="128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</row>
    <row r="806" spans="1:26" ht="14.4" x14ac:dyDescent="0.3">
      <c r="A806" s="128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</row>
    <row r="807" spans="1:26" ht="14.4" x14ac:dyDescent="0.3">
      <c r="A807" s="128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</row>
    <row r="808" spans="1:26" ht="14.4" x14ac:dyDescent="0.3">
      <c r="A808" s="128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</row>
    <row r="809" spans="1:26" ht="14.4" x14ac:dyDescent="0.3">
      <c r="A809" s="128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</row>
    <row r="810" spans="1:26" ht="14.4" x14ac:dyDescent="0.3">
      <c r="A810" s="128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</row>
    <row r="811" spans="1:26" ht="14.4" x14ac:dyDescent="0.3">
      <c r="A811" s="128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</row>
    <row r="812" spans="1:26" ht="14.4" x14ac:dyDescent="0.3">
      <c r="A812" s="128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</row>
    <row r="813" spans="1:26" ht="14.4" x14ac:dyDescent="0.3">
      <c r="A813" s="128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</row>
    <row r="814" spans="1:26" ht="14.4" x14ac:dyDescent="0.3">
      <c r="A814" s="128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</row>
    <row r="815" spans="1:26" ht="14.4" x14ac:dyDescent="0.3">
      <c r="A815" s="128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</row>
    <row r="816" spans="1:26" ht="14.4" x14ac:dyDescent="0.3">
      <c r="A816" s="128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</row>
    <row r="817" spans="1:26" ht="14.4" x14ac:dyDescent="0.3">
      <c r="A817" s="128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</row>
    <row r="818" spans="1:26" ht="14.4" x14ac:dyDescent="0.3">
      <c r="A818" s="128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</row>
    <row r="819" spans="1:26" ht="14.4" x14ac:dyDescent="0.3">
      <c r="A819" s="128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</row>
    <row r="820" spans="1:26" ht="14.4" x14ac:dyDescent="0.3">
      <c r="A820" s="128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</row>
    <row r="821" spans="1:26" ht="14.4" x14ac:dyDescent="0.3">
      <c r="A821" s="128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</row>
    <row r="822" spans="1:26" ht="14.4" x14ac:dyDescent="0.3">
      <c r="A822" s="128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</row>
    <row r="823" spans="1:26" ht="14.4" x14ac:dyDescent="0.3">
      <c r="A823" s="128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</row>
    <row r="824" spans="1:26" ht="14.4" x14ac:dyDescent="0.3">
      <c r="A824" s="128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</row>
    <row r="825" spans="1:26" ht="14.4" x14ac:dyDescent="0.3">
      <c r="A825" s="128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</row>
    <row r="826" spans="1:26" ht="14.4" x14ac:dyDescent="0.3">
      <c r="A826" s="128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</row>
    <row r="827" spans="1:26" ht="14.4" x14ac:dyDescent="0.3">
      <c r="A827" s="128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</row>
    <row r="828" spans="1:26" ht="14.4" x14ac:dyDescent="0.3">
      <c r="A828" s="128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</row>
    <row r="829" spans="1:26" ht="14.4" x14ac:dyDescent="0.3">
      <c r="A829" s="128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</row>
    <row r="830" spans="1:26" ht="14.4" x14ac:dyDescent="0.3">
      <c r="A830" s="128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</row>
    <row r="831" spans="1:26" ht="14.4" x14ac:dyDescent="0.3">
      <c r="A831" s="128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</row>
    <row r="832" spans="1:26" ht="14.4" x14ac:dyDescent="0.3">
      <c r="A832" s="128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</row>
    <row r="833" spans="1:26" ht="14.4" x14ac:dyDescent="0.3">
      <c r="A833" s="128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</row>
    <row r="834" spans="1:26" ht="14.4" x14ac:dyDescent="0.3">
      <c r="A834" s="128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</row>
    <row r="835" spans="1:26" ht="14.4" x14ac:dyDescent="0.3">
      <c r="A835" s="128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</row>
    <row r="836" spans="1:26" ht="14.4" x14ac:dyDescent="0.3">
      <c r="A836" s="128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</row>
    <row r="837" spans="1:26" ht="14.4" x14ac:dyDescent="0.3">
      <c r="A837" s="128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</row>
    <row r="838" spans="1:26" ht="14.4" x14ac:dyDescent="0.3">
      <c r="A838" s="128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</row>
    <row r="839" spans="1:26" ht="14.4" x14ac:dyDescent="0.3">
      <c r="A839" s="128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</row>
    <row r="840" spans="1:26" ht="14.4" x14ac:dyDescent="0.3">
      <c r="A840" s="128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</row>
    <row r="841" spans="1:26" ht="14.4" x14ac:dyDescent="0.3">
      <c r="A841" s="128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</row>
    <row r="842" spans="1:26" ht="14.4" x14ac:dyDescent="0.3">
      <c r="A842" s="128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</row>
    <row r="843" spans="1:26" ht="14.4" x14ac:dyDescent="0.3">
      <c r="A843" s="128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</row>
    <row r="844" spans="1:26" ht="14.4" x14ac:dyDescent="0.3">
      <c r="A844" s="128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</row>
    <row r="845" spans="1:26" ht="14.4" x14ac:dyDescent="0.3">
      <c r="A845" s="128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</row>
    <row r="846" spans="1:26" ht="14.4" x14ac:dyDescent="0.3">
      <c r="A846" s="128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</row>
    <row r="847" spans="1:26" ht="14.4" x14ac:dyDescent="0.3">
      <c r="A847" s="128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</row>
    <row r="848" spans="1:26" ht="14.4" x14ac:dyDescent="0.3">
      <c r="A848" s="128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</row>
    <row r="849" spans="1:26" ht="14.4" x14ac:dyDescent="0.3">
      <c r="A849" s="128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</row>
    <row r="850" spans="1:26" ht="14.4" x14ac:dyDescent="0.3">
      <c r="A850" s="128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</row>
    <row r="851" spans="1:26" ht="14.4" x14ac:dyDescent="0.3">
      <c r="A851" s="128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</row>
    <row r="852" spans="1:26" ht="14.4" x14ac:dyDescent="0.3">
      <c r="A852" s="128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</row>
    <row r="853" spans="1:26" ht="14.4" x14ac:dyDescent="0.3">
      <c r="A853" s="128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</row>
    <row r="854" spans="1:26" ht="14.4" x14ac:dyDescent="0.3">
      <c r="A854" s="128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</row>
    <row r="855" spans="1:26" ht="14.4" x14ac:dyDescent="0.3">
      <c r="A855" s="128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</row>
    <row r="856" spans="1:26" ht="14.4" x14ac:dyDescent="0.3">
      <c r="A856" s="128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</row>
    <row r="857" spans="1:26" ht="14.4" x14ac:dyDescent="0.3">
      <c r="A857" s="128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</row>
    <row r="858" spans="1:26" ht="14.4" x14ac:dyDescent="0.3">
      <c r="A858" s="128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</row>
    <row r="859" spans="1:26" ht="14.4" x14ac:dyDescent="0.3">
      <c r="A859" s="128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</row>
    <row r="860" spans="1:26" ht="14.4" x14ac:dyDescent="0.3">
      <c r="A860" s="128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</row>
    <row r="861" spans="1:26" ht="14.4" x14ac:dyDescent="0.3">
      <c r="A861" s="128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</row>
    <row r="862" spans="1:26" ht="14.4" x14ac:dyDescent="0.3">
      <c r="A862" s="128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</row>
    <row r="863" spans="1:26" ht="14.4" x14ac:dyDescent="0.3">
      <c r="A863" s="128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</row>
    <row r="864" spans="1:26" ht="14.4" x14ac:dyDescent="0.3">
      <c r="A864" s="128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</row>
    <row r="865" spans="1:26" ht="14.4" x14ac:dyDescent="0.3">
      <c r="A865" s="128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</row>
    <row r="866" spans="1:26" ht="14.4" x14ac:dyDescent="0.3">
      <c r="A866" s="128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</row>
    <row r="867" spans="1:26" ht="14.4" x14ac:dyDescent="0.3">
      <c r="A867" s="128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</row>
    <row r="868" spans="1:26" ht="14.4" x14ac:dyDescent="0.3">
      <c r="A868" s="128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</row>
    <row r="869" spans="1:26" ht="14.4" x14ac:dyDescent="0.3">
      <c r="A869" s="128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</row>
    <row r="870" spans="1:26" ht="14.4" x14ac:dyDescent="0.3">
      <c r="A870" s="128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</row>
    <row r="871" spans="1:26" ht="14.4" x14ac:dyDescent="0.3">
      <c r="A871" s="128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</row>
    <row r="872" spans="1:26" ht="14.4" x14ac:dyDescent="0.3">
      <c r="A872" s="128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</row>
    <row r="873" spans="1:26" ht="14.4" x14ac:dyDescent="0.3">
      <c r="A873" s="128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</row>
    <row r="874" spans="1:26" ht="14.4" x14ac:dyDescent="0.3">
      <c r="A874" s="128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</row>
    <row r="875" spans="1:26" ht="14.4" x14ac:dyDescent="0.3">
      <c r="A875" s="128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</row>
    <row r="876" spans="1:26" ht="14.4" x14ac:dyDescent="0.3">
      <c r="A876" s="128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</row>
    <row r="877" spans="1:26" ht="14.4" x14ac:dyDescent="0.3">
      <c r="A877" s="128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</row>
    <row r="878" spans="1:26" ht="14.4" x14ac:dyDescent="0.3">
      <c r="A878" s="128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</row>
    <row r="879" spans="1:26" ht="14.4" x14ac:dyDescent="0.3">
      <c r="A879" s="128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</row>
    <row r="880" spans="1:26" ht="14.4" x14ac:dyDescent="0.3">
      <c r="A880" s="128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</row>
    <row r="881" spans="1:26" ht="14.4" x14ac:dyDescent="0.3">
      <c r="A881" s="128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</row>
    <row r="882" spans="1:26" ht="14.4" x14ac:dyDescent="0.3">
      <c r="A882" s="128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</row>
    <row r="883" spans="1:26" ht="14.4" x14ac:dyDescent="0.3">
      <c r="A883" s="128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</row>
    <row r="884" spans="1:26" ht="14.4" x14ac:dyDescent="0.3">
      <c r="A884" s="128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</row>
    <row r="885" spans="1:26" ht="14.4" x14ac:dyDescent="0.3">
      <c r="A885" s="128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</row>
    <row r="886" spans="1:26" ht="14.4" x14ac:dyDescent="0.3">
      <c r="A886" s="128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</row>
    <row r="887" spans="1:26" ht="14.4" x14ac:dyDescent="0.3">
      <c r="A887" s="128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</row>
    <row r="888" spans="1:26" ht="14.4" x14ac:dyDescent="0.3">
      <c r="A888" s="128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</row>
    <row r="889" spans="1:26" ht="14.4" x14ac:dyDescent="0.3">
      <c r="A889" s="128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</row>
    <row r="890" spans="1:26" ht="14.4" x14ac:dyDescent="0.3">
      <c r="A890" s="128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</row>
    <row r="891" spans="1:26" ht="14.4" x14ac:dyDescent="0.3">
      <c r="A891" s="128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</row>
    <row r="892" spans="1:26" ht="14.4" x14ac:dyDescent="0.3">
      <c r="A892" s="128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</row>
    <row r="893" spans="1:26" ht="14.4" x14ac:dyDescent="0.3">
      <c r="A893" s="128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</row>
    <row r="894" spans="1:26" ht="14.4" x14ac:dyDescent="0.3">
      <c r="A894" s="128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</row>
    <row r="895" spans="1:26" ht="14.4" x14ac:dyDescent="0.3">
      <c r="A895" s="128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</row>
    <row r="896" spans="1:26" ht="14.4" x14ac:dyDescent="0.3">
      <c r="A896" s="128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</row>
    <row r="897" spans="1:26" ht="14.4" x14ac:dyDescent="0.3">
      <c r="A897" s="128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</row>
    <row r="898" spans="1:26" ht="14.4" x14ac:dyDescent="0.3">
      <c r="A898" s="128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</row>
    <row r="899" spans="1:26" ht="14.4" x14ac:dyDescent="0.3">
      <c r="A899" s="128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</row>
    <row r="900" spans="1:26" ht="14.4" x14ac:dyDescent="0.3">
      <c r="A900" s="128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</row>
    <row r="901" spans="1:26" ht="14.4" x14ac:dyDescent="0.3">
      <c r="A901" s="128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</row>
    <row r="902" spans="1:26" ht="14.4" x14ac:dyDescent="0.3">
      <c r="A902" s="128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</row>
    <row r="903" spans="1:26" ht="14.4" x14ac:dyDescent="0.3">
      <c r="A903" s="128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</row>
    <row r="904" spans="1:26" ht="14.4" x14ac:dyDescent="0.3">
      <c r="A904" s="128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</row>
    <row r="905" spans="1:26" ht="14.4" x14ac:dyDescent="0.3">
      <c r="A905" s="128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</row>
    <row r="906" spans="1:26" ht="14.4" x14ac:dyDescent="0.3">
      <c r="A906" s="128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</row>
    <row r="907" spans="1:26" ht="14.4" x14ac:dyDescent="0.3">
      <c r="A907" s="128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</row>
    <row r="908" spans="1:26" ht="14.4" x14ac:dyDescent="0.3">
      <c r="A908" s="128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</row>
    <row r="909" spans="1:26" ht="14.4" x14ac:dyDescent="0.3">
      <c r="A909" s="128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</row>
    <row r="910" spans="1:26" ht="14.4" x14ac:dyDescent="0.3">
      <c r="A910" s="128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</row>
    <row r="911" spans="1:26" ht="14.4" x14ac:dyDescent="0.3">
      <c r="A911" s="128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</row>
    <row r="912" spans="1:26" ht="14.4" x14ac:dyDescent="0.3">
      <c r="A912" s="128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</row>
    <row r="913" spans="1:26" ht="14.4" x14ac:dyDescent="0.3">
      <c r="A913" s="128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</row>
    <row r="914" spans="1:26" ht="14.4" x14ac:dyDescent="0.3">
      <c r="A914" s="128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  <c r="W914" s="128"/>
      <c r="X914" s="128"/>
      <c r="Y914" s="128"/>
      <c r="Z914" s="128"/>
    </row>
    <row r="915" spans="1:26" ht="14.4" x14ac:dyDescent="0.3">
      <c r="A915" s="128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  <c r="W915" s="128"/>
      <c r="X915" s="128"/>
      <c r="Y915" s="128"/>
      <c r="Z915" s="128"/>
    </row>
    <row r="916" spans="1:26" ht="14.4" x14ac:dyDescent="0.3">
      <c r="A916" s="128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  <c r="W916" s="128"/>
      <c r="X916" s="128"/>
      <c r="Y916" s="128"/>
      <c r="Z916" s="128"/>
    </row>
    <row r="917" spans="1:26" ht="14.4" x14ac:dyDescent="0.3">
      <c r="A917" s="128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  <c r="W917" s="128"/>
      <c r="X917" s="128"/>
      <c r="Y917" s="128"/>
      <c r="Z917" s="128"/>
    </row>
    <row r="918" spans="1:26" ht="14.4" x14ac:dyDescent="0.3">
      <c r="A918" s="128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  <c r="W918" s="128"/>
      <c r="X918" s="128"/>
      <c r="Y918" s="128"/>
      <c r="Z918" s="128"/>
    </row>
    <row r="919" spans="1:26" ht="14.4" x14ac:dyDescent="0.3">
      <c r="A919" s="128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  <c r="W919" s="128"/>
      <c r="X919" s="128"/>
      <c r="Y919" s="128"/>
      <c r="Z919" s="128"/>
    </row>
    <row r="920" spans="1:26" ht="14.4" x14ac:dyDescent="0.3">
      <c r="A920" s="128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  <c r="W920" s="128"/>
      <c r="X920" s="128"/>
      <c r="Y920" s="128"/>
      <c r="Z920" s="128"/>
    </row>
    <row r="921" spans="1:26" ht="14.4" x14ac:dyDescent="0.3">
      <c r="A921" s="128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  <c r="W921" s="128"/>
      <c r="X921" s="128"/>
      <c r="Y921" s="128"/>
      <c r="Z921" s="128"/>
    </row>
    <row r="922" spans="1:26" ht="14.4" x14ac:dyDescent="0.3">
      <c r="A922" s="128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  <c r="W922" s="128"/>
      <c r="X922" s="128"/>
      <c r="Y922" s="128"/>
      <c r="Z922" s="128"/>
    </row>
    <row r="923" spans="1:26" ht="14.4" x14ac:dyDescent="0.3">
      <c r="A923" s="128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  <c r="W923" s="128"/>
      <c r="X923" s="128"/>
      <c r="Y923" s="128"/>
      <c r="Z923" s="128"/>
    </row>
    <row r="924" spans="1:26" ht="14.4" x14ac:dyDescent="0.3">
      <c r="A924" s="128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  <c r="W924" s="128"/>
      <c r="X924" s="128"/>
      <c r="Y924" s="128"/>
      <c r="Z924" s="128"/>
    </row>
    <row r="925" spans="1:26" ht="14.4" x14ac:dyDescent="0.3">
      <c r="A925" s="128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  <c r="W925" s="128"/>
      <c r="X925" s="128"/>
      <c r="Y925" s="128"/>
      <c r="Z925" s="128"/>
    </row>
    <row r="926" spans="1:26" ht="14.4" x14ac:dyDescent="0.3">
      <c r="A926" s="128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  <c r="W926" s="128"/>
      <c r="X926" s="128"/>
      <c r="Y926" s="128"/>
      <c r="Z926" s="128"/>
    </row>
    <row r="927" spans="1:26" ht="14.4" x14ac:dyDescent="0.3">
      <c r="A927" s="128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  <c r="W927" s="128"/>
      <c r="X927" s="128"/>
      <c r="Y927" s="128"/>
      <c r="Z927" s="128"/>
    </row>
    <row r="928" spans="1:26" ht="14.4" x14ac:dyDescent="0.3">
      <c r="A928" s="128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  <c r="W928" s="128"/>
      <c r="X928" s="128"/>
      <c r="Y928" s="128"/>
      <c r="Z928" s="128"/>
    </row>
    <row r="929" spans="1:26" ht="14.4" x14ac:dyDescent="0.3">
      <c r="A929" s="128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  <c r="W929" s="128"/>
      <c r="X929" s="128"/>
      <c r="Y929" s="128"/>
      <c r="Z929" s="128"/>
    </row>
    <row r="930" spans="1:26" ht="14.4" x14ac:dyDescent="0.3">
      <c r="A930" s="128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  <c r="W930" s="128"/>
      <c r="X930" s="128"/>
      <c r="Y930" s="128"/>
      <c r="Z930" s="128"/>
    </row>
    <row r="931" spans="1:26" ht="14.4" x14ac:dyDescent="0.3">
      <c r="A931" s="128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  <c r="W931" s="128"/>
      <c r="X931" s="128"/>
      <c r="Y931" s="128"/>
      <c r="Z931" s="128"/>
    </row>
    <row r="932" spans="1:26" ht="14.4" x14ac:dyDescent="0.3">
      <c r="A932" s="128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  <c r="W932" s="128"/>
      <c r="X932" s="128"/>
      <c r="Y932" s="128"/>
      <c r="Z932" s="128"/>
    </row>
    <row r="933" spans="1:26" ht="14.4" x14ac:dyDescent="0.3">
      <c r="A933" s="128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  <c r="W933" s="128"/>
      <c r="X933" s="128"/>
      <c r="Y933" s="128"/>
      <c r="Z933" s="128"/>
    </row>
    <row r="934" spans="1:26" ht="14.4" x14ac:dyDescent="0.3">
      <c r="A934" s="128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  <c r="W934" s="128"/>
      <c r="X934" s="128"/>
      <c r="Y934" s="128"/>
      <c r="Z934" s="128"/>
    </row>
    <row r="935" spans="1:26" ht="14.4" x14ac:dyDescent="0.3">
      <c r="A935" s="128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  <c r="W935" s="128"/>
      <c r="X935" s="128"/>
      <c r="Y935" s="128"/>
      <c r="Z935" s="128"/>
    </row>
    <row r="936" spans="1:26" ht="14.4" x14ac:dyDescent="0.3">
      <c r="A936" s="128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  <c r="W936" s="128"/>
      <c r="X936" s="128"/>
      <c r="Y936" s="128"/>
      <c r="Z936" s="128"/>
    </row>
    <row r="937" spans="1:26" ht="14.4" x14ac:dyDescent="0.3">
      <c r="A937" s="128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  <c r="W937" s="128"/>
      <c r="X937" s="128"/>
      <c r="Y937" s="128"/>
      <c r="Z937" s="128"/>
    </row>
    <row r="938" spans="1:26" ht="14.4" x14ac:dyDescent="0.3">
      <c r="A938" s="128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  <c r="W938" s="128"/>
      <c r="X938" s="128"/>
      <c r="Y938" s="128"/>
      <c r="Z938" s="128"/>
    </row>
    <row r="939" spans="1:26" ht="14.4" x14ac:dyDescent="0.3">
      <c r="A939" s="128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  <c r="W939" s="128"/>
      <c r="X939" s="128"/>
      <c r="Y939" s="128"/>
      <c r="Z939" s="128"/>
    </row>
    <row r="940" spans="1:26" ht="14.4" x14ac:dyDescent="0.3">
      <c r="A940" s="128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  <c r="W940" s="128"/>
      <c r="X940" s="128"/>
      <c r="Y940" s="128"/>
      <c r="Z940" s="128"/>
    </row>
    <row r="941" spans="1:26" ht="14.4" x14ac:dyDescent="0.3">
      <c r="A941" s="128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  <c r="W941" s="128"/>
      <c r="X941" s="128"/>
      <c r="Y941" s="128"/>
      <c r="Z941" s="128"/>
    </row>
    <row r="942" spans="1:26" ht="14.4" x14ac:dyDescent="0.3">
      <c r="A942" s="128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  <c r="W942" s="128"/>
      <c r="X942" s="128"/>
      <c r="Y942" s="128"/>
      <c r="Z942" s="128"/>
    </row>
    <row r="943" spans="1:26" ht="14.4" x14ac:dyDescent="0.3">
      <c r="A943" s="128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  <c r="W943" s="128"/>
      <c r="X943" s="128"/>
      <c r="Y943" s="128"/>
      <c r="Z943" s="128"/>
    </row>
    <row r="944" spans="1:26" ht="14.4" x14ac:dyDescent="0.3">
      <c r="A944" s="128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  <c r="W944" s="128"/>
      <c r="X944" s="128"/>
      <c r="Y944" s="128"/>
      <c r="Z944" s="128"/>
    </row>
    <row r="945" spans="1:26" ht="14.4" x14ac:dyDescent="0.3">
      <c r="A945" s="128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  <c r="W945" s="128"/>
      <c r="X945" s="128"/>
      <c r="Y945" s="128"/>
      <c r="Z945" s="128"/>
    </row>
    <row r="946" spans="1:26" ht="14.4" x14ac:dyDescent="0.3">
      <c r="A946" s="128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  <c r="W946" s="128"/>
      <c r="X946" s="128"/>
      <c r="Y946" s="128"/>
      <c r="Z946" s="128"/>
    </row>
    <row r="947" spans="1:26" ht="14.4" x14ac:dyDescent="0.3">
      <c r="A947" s="128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  <c r="W947" s="128"/>
      <c r="X947" s="128"/>
      <c r="Y947" s="128"/>
      <c r="Z947" s="128"/>
    </row>
    <row r="948" spans="1:26" ht="14.4" x14ac:dyDescent="0.3">
      <c r="A948" s="128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  <c r="W948" s="128"/>
      <c r="X948" s="128"/>
      <c r="Y948" s="128"/>
      <c r="Z948" s="128"/>
    </row>
    <row r="949" spans="1:26" ht="14.4" x14ac:dyDescent="0.3">
      <c r="A949" s="128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  <c r="W949" s="128"/>
      <c r="X949" s="128"/>
      <c r="Y949" s="128"/>
      <c r="Z949" s="128"/>
    </row>
    <row r="950" spans="1:26" ht="14.4" x14ac:dyDescent="0.3">
      <c r="A950" s="128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  <c r="W950" s="128"/>
      <c r="X950" s="128"/>
      <c r="Y950" s="128"/>
      <c r="Z950" s="128"/>
    </row>
    <row r="951" spans="1:26" ht="14.4" x14ac:dyDescent="0.3">
      <c r="A951" s="128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  <c r="W951" s="128"/>
      <c r="X951" s="128"/>
      <c r="Y951" s="128"/>
      <c r="Z951" s="128"/>
    </row>
    <row r="952" spans="1:26" ht="14.4" x14ac:dyDescent="0.3">
      <c r="A952" s="128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  <c r="W952" s="128"/>
      <c r="X952" s="128"/>
      <c r="Y952" s="128"/>
      <c r="Z952" s="128"/>
    </row>
    <row r="953" spans="1:26" ht="14.4" x14ac:dyDescent="0.3">
      <c r="A953" s="128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  <c r="W953" s="128"/>
      <c r="X953" s="128"/>
      <c r="Y953" s="128"/>
      <c r="Z953" s="128"/>
    </row>
    <row r="954" spans="1:26" ht="14.4" x14ac:dyDescent="0.3">
      <c r="A954" s="128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  <c r="W954" s="128"/>
      <c r="X954" s="128"/>
      <c r="Y954" s="128"/>
      <c r="Z954" s="128"/>
    </row>
    <row r="955" spans="1:26" ht="14.4" x14ac:dyDescent="0.3">
      <c r="A955" s="128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  <c r="W955" s="128"/>
      <c r="X955" s="128"/>
      <c r="Y955" s="128"/>
      <c r="Z955" s="128"/>
    </row>
    <row r="956" spans="1:26" ht="14.4" x14ac:dyDescent="0.3">
      <c r="A956" s="128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  <c r="W956" s="128"/>
      <c r="X956" s="128"/>
      <c r="Y956" s="128"/>
      <c r="Z956" s="128"/>
    </row>
    <row r="957" spans="1:26" ht="14.4" x14ac:dyDescent="0.3">
      <c r="A957" s="128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  <c r="W957" s="128"/>
      <c r="X957" s="128"/>
      <c r="Y957" s="128"/>
      <c r="Z957" s="128"/>
    </row>
    <row r="958" spans="1:26" ht="14.4" x14ac:dyDescent="0.3">
      <c r="A958" s="128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128"/>
      <c r="T958" s="128"/>
      <c r="U958" s="128"/>
      <c r="V958" s="128"/>
      <c r="W958" s="128"/>
      <c r="X958" s="128"/>
      <c r="Y958" s="128"/>
      <c r="Z958" s="128"/>
    </row>
    <row r="959" spans="1:26" ht="14.4" x14ac:dyDescent="0.3">
      <c r="A959" s="128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128"/>
      <c r="T959" s="128"/>
      <c r="U959" s="128"/>
      <c r="V959" s="128"/>
      <c r="W959" s="128"/>
      <c r="X959" s="128"/>
      <c r="Y959" s="128"/>
      <c r="Z959" s="128"/>
    </row>
    <row r="960" spans="1:26" ht="14.4" x14ac:dyDescent="0.3">
      <c r="A960" s="128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128"/>
      <c r="T960" s="128"/>
      <c r="U960" s="128"/>
      <c r="V960" s="128"/>
      <c r="W960" s="128"/>
      <c r="X960" s="128"/>
      <c r="Y960" s="128"/>
      <c r="Z960" s="128"/>
    </row>
    <row r="961" spans="1:26" ht="14.4" x14ac:dyDescent="0.3">
      <c r="A961" s="128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128"/>
      <c r="T961" s="128"/>
      <c r="U961" s="128"/>
      <c r="V961" s="128"/>
      <c r="W961" s="128"/>
      <c r="X961" s="128"/>
      <c r="Y961" s="128"/>
      <c r="Z961" s="128"/>
    </row>
    <row r="962" spans="1:26" ht="14.4" x14ac:dyDescent="0.3">
      <c r="A962" s="128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128"/>
      <c r="T962" s="128"/>
      <c r="U962" s="128"/>
      <c r="V962" s="128"/>
      <c r="W962" s="128"/>
      <c r="X962" s="128"/>
      <c r="Y962" s="128"/>
      <c r="Z962" s="128"/>
    </row>
    <row r="963" spans="1:26" ht="14.4" x14ac:dyDescent="0.3">
      <c r="A963" s="128"/>
      <c r="B963" s="128"/>
      <c r="C963" s="128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128"/>
      <c r="T963" s="128"/>
      <c r="U963" s="128"/>
      <c r="V963" s="128"/>
      <c r="W963" s="128"/>
      <c r="X963" s="128"/>
      <c r="Y963" s="128"/>
      <c r="Z963" s="128"/>
    </row>
    <row r="964" spans="1:26" ht="14.4" x14ac:dyDescent="0.3">
      <c r="A964" s="128"/>
      <c r="B964" s="128"/>
      <c r="C964" s="128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128"/>
      <c r="T964" s="128"/>
      <c r="U964" s="128"/>
      <c r="V964" s="128"/>
      <c r="W964" s="128"/>
      <c r="X964" s="128"/>
      <c r="Y964" s="128"/>
      <c r="Z964" s="128"/>
    </row>
    <row r="965" spans="1:26" ht="14.4" x14ac:dyDescent="0.3">
      <c r="A965" s="128"/>
      <c r="B965" s="128"/>
      <c r="C965" s="128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128"/>
      <c r="T965" s="128"/>
      <c r="U965" s="128"/>
      <c r="V965" s="128"/>
      <c r="W965" s="128"/>
      <c r="X965" s="128"/>
      <c r="Y965" s="128"/>
      <c r="Z965" s="128"/>
    </row>
    <row r="966" spans="1:26" ht="14.4" x14ac:dyDescent="0.3">
      <c r="A966" s="128"/>
      <c r="B966" s="128"/>
      <c r="C966" s="128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128"/>
      <c r="T966" s="128"/>
      <c r="U966" s="128"/>
      <c r="V966" s="128"/>
      <c r="W966" s="128"/>
      <c r="X966" s="128"/>
      <c r="Y966" s="128"/>
      <c r="Z966" s="128"/>
    </row>
    <row r="967" spans="1:26" ht="14.4" x14ac:dyDescent="0.3">
      <c r="A967" s="128"/>
      <c r="B967" s="128"/>
      <c r="C967" s="128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8"/>
      <c r="S967" s="128"/>
      <c r="T967" s="128"/>
      <c r="U967" s="128"/>
      <c r="V967" s="128"/>
      <c r="W967" s="128"/>
      <c r="X967" s="128"/>
      <c r="Y967" s="128"/>
      <c r="Z967" s="128"/>
    </row>
    <row r="968" spans="1:26" ht="14.4" x14ac:dyDescent="0.3">
      <c r="A968" s="128"/>
      <c r="B968" s="128"/>
      <c r="C968" s="128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8"/>
      <c r="S968" s="128"/>
      <c r="T968" s="128"/>
      <c r="U968" s="128"/>
      <c r="V968" s="128"/>
      <c r="W968" s="128"/>
      <c r="X968" s="128"/>
      <c r="Y968" s="128"/>
      <c r="Z968" s="128"/>
    </row>
    <row r="969" spans="1:26" ht="14.4" x14ac:dyDescent="0.3">
      <c r="A969" s="128"/>
      <c r="B969" s="128"/>
      <c r="C969" s="128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8"/>
      <c r="S969" s="128"/>
      <c r="T969" s="128"/>
      <c r="U969" s="128"/>
      <c r="V969" s="128"/>
      <c r="W969" s="128"/>
      <c r="X969" s="128"/>
      <c r="Y969" s="128"/>
      <c r="Z969" s="128"/>
    </row>
    <row r="970" spans="1:26" ht="14.4" x14ac:dyDescent="0.3">
      <c r="A970" s="128"/>
      <c r="B970" s="128"/>
      <c r="C970" s="128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8"/>
      <c r="S970" s="128"/>
      <c r="T970" s="128"/>
      <c r="U970" s="128"/>
      <c r="V970" s="128"/>
      <c r="W970" s="128"/>
      <c r="X970" s="128"/>
      <c r="Y970" s="128"/>
      <c r="Z970" s="128"/>
    </row>
    <row r="971" spans="1:26" ht="14.4" x14ac:dyDescent="0.3">
      <c r="A971" s="128"/>
      <c r="B971" s="128"/>
      <c r="C971" s="128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8"/>
      <c r="S971" s="128"/>
      <c r="T971" s="128"/>
      <c r="U971" s="128"/>
      <c r="V971" s="128"/>
      <c r="W971" s="128"/>
      <c r="X971" s="128"/>
      <c r="Y971" s="128"/>
      <c r="Z971" s="128"/>
    </row>
    <row r="972" spans="1:26" ht="14.4" x14ac:dyDescent="0.3">
      <c r="A972" s="128"/>
      <c r="B972" s="128"/>
      <c r="C972" s="128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8"/>
      <c r="S972" s="128"/>
      <c r="T972" s="128"/>
      <c r="U972" s="128"/>
      <c r="V972" s="128"/>
      <c r="W972" s="128"/>
      <c r="X972" s="128"/>
      <c r="Y972" s="128"/>
      <c r="Z972" s="128"/>
    </row>
    <row r="973" spans="1:26" ht="14.4" x14ac:dyDescent="0.3">
      <c r="A973" s="128"/>
      <c r="B973" s="128"/>
      <c r="C973" s="128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8"/>
      <c r="S973" s="128"/>
      <c r="T973" s="128"/>
      <c r="U973" s="128"/>
      <c r="V973" s="128"/>
      <c r="W973" s="128"/>
      <c r="X973" s="128"/>
      <c r="Y973" s="128"/>
      <c r="Z973" s="128"/>
    </row>
    <row r="974" spans="1:26" ht="14.4" x14ac:dyDescent="0.3">
      <c r="A974" s="128"/>
      <c r="B974" s="128"/>
      <c r="C974" s="128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8"/>
      <c r="S974" s="128"/>
      <c r="T974" s="128"/>
      <c r="U974" s="128"/>
      <c r="V974" s="128"/>
      <c r="W974" s="128"/>
      <c r="X974" s="128"/>
      <c r="Y974" s="128"/>
      <c r="Z974" s="128"/>
    </row>
    <row r="975" spans="1:26" ht="14.4" x14ac:dyDescent="0.3">
      <c r="A975" s="128"/>
      <c r="B975" s="128"/>
      <c r="C975" s="128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  <c r="S975" s="128"/>
      <c r="T975" s="128"/>
      <c r="U975" s="128"/>
      <c r="V975" s="128"/>
      <c r="W975" s="128"/>
      <c r="X975" s="128"/>
      <c r="Y975" s="128"/>
      <c r="Z975" s="128"/>
    </row>
    <row r="976" spans="1:26" ht="14.4" x14ac:dyDescent="0.3">
      <c r="A976" s="128"/>
      <c r="B976" s="128"/>
      <c r="C976" s="128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8"/>
      <c r="S976" s="128"/>
      <c r="T976" s="128"/>
      <c r="U976" s="128"/>
      <c r="V976" s="128"/>
      <c r="W976" s="128"/>
      <c r="X976" s="128"/>
      <c r="Y976" s="128"/>
      <c r="Z976" s="128"/>
    </row>
    <row r="977" spans="1:26" ht="14.4" x14ac:dyDescent="0.3">
      <c r="A977" s="128"/>
      <c r="B977" s="128"/>
      <c r="C977" s="128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8"/>
      <c r="S977" s="128"/>
      <c r="T977" s="128"/>
      <c r="U977" s="128"/>
      <c r="V977" s="128"/>
      <c r="W977" s="128"/>
      <c r="X977" s="128"/>
      <c r="Y977" s="128"/>
      <c r="Z977" s="128"/>
    </row>
    <row r="978" spans="1:26" ht="14.4" x14ac:dyDescent="0.3">
      <c r="A978" s="128"/>
      <c r="B978" s="128"/>
      <c r="C978" s="128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8"/>
      <c r="S978" s="128"/>
      <c r="T978" s="128"/>
      <c r="U978" s="128"/>
      <c r="V978" s="128"/>
      <c r="W978" s="128"/>
      <c r="X978" s="128"/>
      <c r="Y978" s="128"/>
      <c r="Z978" s="128"/>
    </row>
    <row r="979" spans="1:26" ht="14.4" x14ac:dyDescent="0.3">
      <c r="A979" s="128"/>
      <c r="B979" s="128"/>
      <c r="C979" s="128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8"/>
      <c r="S979" s="128"/>
      <c r="T979" s="128"/>
      <c r="U979" s="128"/>
      <c r="V979" s="128"/>
      <c r="W979" s="128"/>
      <c r="X979" s="128"/>
      <c r="Y979" s="128"/>
      <c r="Z979" s="128"/>
    </row>
    <row r="980" spans="1:26" ht="14.4" x14ac:dyDescent="0.3">
      <c r="A980" s="128"/>
      <c r="B980" s="128"/>
      <c r="C980" s="128"/>
      <c r="D980" s="128"/>
      <c r="E980" s="128"/>
      <c r="F980" s="128"/>
      <c r="G980" s="128"/>
      <c r="H980" s="128"/>
      <c r="I980" s="128"/>
      <c r="J980" s="128"/>
      <c r="K980" s="128"/>
      <c r="L980" s="128"/>
      <c r="M980" s="128"/>
      <c r="N980" s="128"/>
      <c r="O980" s="128"/>
      <c r="P980" s="128"/>
      <c r="Q980" s="128"/>
      <c r="R980" s="128"/>
      <c r="S980" s="128"/>
      <c r="T980" s="128"/>
      <c r="U980" s="128"/>
      <c r="V980" s="128"/>
      <c r="W980" s="128"/>
      <c r="X980" s="128"/>
      <c r="Y980" s="128"/>
      <c r="Z980" s="128"/>
    </row>
    <row r="981" spans="1:26" ht="14.4" x14ac:dyDescent="0.3">
      <c r="A981" s="128"/>
      <c r="B981" s="128"/>
      <c r="C981" s="128"/>
      <c r="D981" s="128"/>
      <c r="E981" s="128"/>
      <c r="F981" s="128"/>
      <c r="G981" s="128"/>
      <c r="H981" s="12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8"/>
      <c r="S981" s="128"/>
      <c r="T981" s="128"/>
      <c r="U981" s="128"/>
      <c r="V981" s="128"/>
      <c r="W981" s="128"/>
      <c r="X981" s="128"/>
      <c r="Y981" s="128"/>
      <c r="Z981" s="128"/>
    </row>
    <row r="982" spans="1:26" ht="14.4" x14ac:dyDescent="0.3">
      <c r="A982" s="128"/>
      <c r="B982" s="128"/>
      <c r="C982" s="128"/>
      <c r="D982" s="128"/>
      <c r="E982" s="128"/>
      <c r="F982" s="128"/>
      <c r="G982" s="128"/>
      <c r="H982" s="128"/>
      <c r="I982" s="128"/>
      <c r="J982" s="128"/>
      <c r="K982" s="128"/>
      <c r="L982" s="128"/>
      <c r="M982" s="128"/>
      <c r="N982" s="128"/>
      <c r="O982" s="128"/>
      <c r="P982" s="128"/>
      <c r="Q982" s="128"/>
      <c r="R982" s="128"/>
      <c r="S982" s="128"/>
      <c r="T982" s="128"/>
      <c r="U982" s="128"/>
      <c r="V982" s="128"/>
      <c r="W982" s="128"/>
      <c r="X982" s="128"/>
      <c r="Y982" s="128"/>
      <c r="Z982" s="128"/>
    </row>
    <row r="983" spans="1:26" ht="14.4" x14ac:dyDescent="0.3">
      <c r="A983" s="128"/>
      <c r="B983" s="128"/>
      <c r="C983" s="128"/>
      <c r="D983" s="128"/>
      <c r="E983" s="128"/>
      <c r="F983" s="128"/>
      <c r="G983" s="128"/>
      <c r="H983" s="128"/>
      <c r="I983" s="128"/>
      <c r="J983" s="128"/>
      <c r="K983" s="128"/>
      <c r="L983" s="128"/>
      <c r="M983" s="128"/>
      <c r="N983" s="128"/>
      <c r="O983" s="128"/>
      <c r="P983" s="128"/>
      <c r="Q983" s="128"/>
      <c r="R983" s="128"/>
      <c r="S983" s="128"/>
      <c r="T983" s="128"/>
      <c r="U983" s="128"/>
      <c r="V983" s="128"/>
      <c r="W983" s="128"/>
      <c r="X983" s="128"/>
      <c r="Y983" s="128"/>
      <c r="Z983" s="128"/>
    </row>
    <row r="984" spans="1:26" ht="14.4" x14ac:dyDescent="0.3">
      <c r="A984" s="128"/>
      <c r="B984" s="128"/>
      <c r="C984" s="128"/>
      <c r="D984" s="128"/>
      <c r="E984" s="128"/>
      <c r="F984" s="128"/>
      <c r="G984" s="128"/>
      <c r="H984" s="128"/>
      <c r="I984" s="128"/>
      <c r="J984" s="128"/>
      <c r="K984" s="128"/>
      <c r="L984" s="128"/>
      <c r="M984" s="128"/>
      <c r="N984" s="128"/>
      <c r="O984" s="128"/>
      <c r="P984" s="128"/>
      <c r="Q984" s="128"/>
      <c r="R984" s="128"/>
      <c r="S984" s="128"/>
      <c r="T984" s="128"/>
      <c r="U984" s="128"/>
      <c r="V984" s="128"/>
      <c r="W984" s="128"/>
      <c r="X984" s="128"/>
      <c r="Y984" s="128"/>
      <c r="Z984" s="128"/>
    </row>
    <row r="985" spans="1:26" ht="14.4" x14ac:dyDescent="0.3">
      <c r="A985" s="128"/>
      <c r="B985" s="128"/>
      <c r="C985" s="128"/>
      <c r="D985" s="128"/>
      <c r="E985" s="128"/>
      <c r="F985" s="128"/>
      <c r="G985" s="128"/>
      <c r="H985" s="128"/>
      <c r="I985" s="128"/>
      <c r="J985" s="128"/>
      <c r="K985" s="128"/>
      <c r="L985" s="128"/>
      <c r="M985" s="128"/>
      <c r="N985" s="128"/>
      <c r="O985" s="128"/>
      <c r="P985" s="128"/>
      <c r="Q985" s="128"/>
      <c r="R985" s="128"/>
      <c r="S985" s="128"/>
      <c r="T985" s="128"/>
      <c r="U985" s="128"/>
      <c r="V985" s="128"/>
      <c r="W985" s="128"/>
      <c r="X985" s="128"/>
      <c r="Y985" s="128"/>
      <c r="Z985" s="128"/>
    </row>
    <row r="986" spans="1:26" ht="14.4" x14ac:dyDescent="0.3">
      <c r="A986" s="128"/>
      <c r="B986" s="128"/>
      <c r="C986" s="128"/>
      <c r="D986" s="128"/>
      <c r="E986" s="128"/>
      <c r="F986" s="128"/>
      <c r="G986" s="128"/>
      <c r="H986" s="128"/>
      <c r="I986" s="128"/>
      <c r="J986" s="128"/>
      <c r="K986" s="128"/>
      <c r="L986" s="128"/>
      <c r="M986" s="128"/>
      <c r="N986" s="128"/>
      <c r="O986" s="128"/>
      <c r="P986" s="128"/>
      <c r="Q986" s="128"/>
      <c r="R986" s="128"/>
      <c r="S986" s="128"/>
      <c r="T986" s="128"/>
      <c r="U986" s="128"/>
      <c r="V986" s="128"/>
      <c r="W986" s="128"/>
      <c r="X986" s="128"/>
      <c r="Y986" s="128"/>
      <c r="Z986" s="128"/>
    </row>
    <row r="987" spans="1:26" ht="14.4" x14ac:dyDescent="0.3">
      <c r="A987" s="128"/>
      <c r="B987" s="128"/>
      <c r="C987" s="128"/>
      <c r="D987" s="128"/>
      <c r="E987" s="128"/>
      <c r="F987" s="128"/>
      <c r="G987" s="128"/>
      <c r="H987" s="128"/>
      <c r="I987" s="128"/>
      <c r="J987" s="128"/>
      <c r="K987" s="128"/>
      <c r="L987" s="128"/>
      <c r="M987" s="128"/>
      <c r="N987" s="128"/>
      <c r="O987" s="128"/>
      <c r="P987" s="128"/>
      <c r="Q987" s="128"/>
      <c r="R987" s="128"/>
      <c r="S987" s="128"/>
      <c r="T987" s="128"/>
      <c r="U987" s="128"/>
      <c r="V987" s="128"/>
      <c r="W987" s="128"/>
      <c r="X987" s="128"/>
      <c r="Y987" s="128"/>
      <c r="Z987" s="128"/>
    </row>
    <row r="988" spans="1:26" ht="14.4" x14ac:dyDescent="0.3">
      <c r="A988" s="128"/>
      <c r="B988" s="128"/>
      <c r="C988" s="128"/>
      <c r="D988" s="128"/>
      <c r="E988" s="128"/>
      <c r="F988" s="128"/>
      <c r="G988" s="128"/>
      <c r="H988" s="128"/>
      <c r="I988" s="128"/>
      <c r="J988" s="128"/>
      <c r="K988" s="128"/>
      <c r="L988" s="128"/>
      <c r="M988" s="128"/>
      <c r="N988" s="128"/>
      <c r="O988" s="128"/>
      <c r="P988" s="128"/>
      <c r="Q988" s="128"/>
      <c r="R988" s="128"/>
      <c r="S988" s="128"/>
      <c r="T988" s="128"/>
      <c r="U988" s="128"/>
      <c r="V988" s="128"/>
      <c r="W988" s="128"/>
      <c r="X988" s="128"/>
      <c r="Y988" s="128"/>
      <c r="Z988" s="128"/>
    </row>
    <row r="989" spans="1:26" ht="14.4" x14ac:dyDescent="0.3">
      <c r="A989" s="128"/>
      <c r="B989" s="128"/>
      <c r="C989" s="128"/>
      <c r="D989" s="128"/>
      <c r="E989" s="128"/>
      <c r="F989" s="128"/>
      <c r="G989" s="128"/>
      <c r="H989" s="128"/>
      <c r="I989" s="128"/>
      <c r="J989" s="128"/>
      <c r="K989" s="128"/>
      <c r="L989" s="128"/>
      <c r="M989" s="128"/>
      <c r="N989" s="128"/>
      <c r="O989" s="128"/>
      <c r="P989" s="128"/>
      <c r="Q989" s="128"/>
      <c r="R989" s="128"/>
      <c r="S989" s="128"/>
      <c r="T989" s="128"/>
      <c r="U989" s="128"/>
      <c r="V989" s="128"/>
      <c r="W989" s="128"/>
      <c r="X989" s="128"/>
      <c r="Y989" s="128"/>
      <c r="Z989" s="128"/>
    </row>
    <row r="990" spans="1:26" ht="14.4" x14ac:dyDescent="0.3">
      <c r="A990" s="128"/>
      <c r="B990" s="128"/>
      <c r="C990" s="128"/>
      <c r="D990" s="128"/>
      <c r="E990" s="128"/>
      <c r="F990" s="128"/>
      <c r="G990" s="128"/>
      <c r="H990" s="128"/>
      <c r="I990" s="128"/>
      <c r="J990" s="128"/>
      <c r="K990" s="128"/>
      <c r="L990" s="128"/>
      <c r="M990" s="128"/>
      <c r="N990" s="128"/>
      <c r="O990" s="128"/>
      <c r="P990" s="128"/>
      <c r="Q990" s="128"/>
      <c r="R990" s="128"/>
      <c r="S990" s="128"/>
      <c r="T990" s="128"/>
      <c r="U990" s="128"/>
      <c r="V990" s="128"/>
      <c r="W990" s="128"/>
      <c r="X990" s="128"/>
      <c r="Y990" s="128"/>
      <c r="Z990" s="128"/>
    </row>
    <row r="991" spans="1:26" ht="14.4" x14ac:dyDescent="0.3">
      <c r="A991" s="128"/>
      <c r="B991" s="128"/>
      <c r="C991" s="128"/>
      <c r="D991" s="128"/>
      <c r="E991" s="128"/>
      <c r="F991" s="128"/>
      <c r="G991" s="128"/>
      <c r="H991" s="128"/>
      <c r="I991" s="128"/>
      <c r="J991" s="128"/>
      <c r="K991" s="128"/>
      <c r="L991" s="128"/>
      <c r="M991" s="128"/>
      <c r="N991" s="128"/>
      <c r="O991" s="128"/>
      <c r="P991" s="128"/>
      <c r="Q991" s="128"/>
      <c r="R991" s="128"/>
      <c r="S991" s="128"/>
      <c r="T991" s="128"/>
      <c r="U991" s="128"/>
      <c r="V991" s="128"/>
      <c r="W991" s="128"/>
      <c r="X991" s="128"/>
      <c r="Y991" s="128"/>
      <c r="Z991" s="128"/>
    </row>
    <row r="992" spans="1:26" ht="14.4" x14ac:dyDescent="0.3">
      <c r="A992" s="128"/>
      <c r="B992" s="128"/>
      <c r="C992" s="128"/>
      <c r="D992" s="128"/>
      <c r="E992" s="128"/>
      <c r="F992" s="128"/>
      <c r="G992" s="128"/>
      <c r="H992" s="128"/>
      <c r="I992" s="128"/>
      <c r="J992" s="128"/>
      <c r="K992" s="128"/>
      <c r="L992" s="128"/>
      <c r="M992" s="128"/>
      <c r="N992" s="128"/>
      <c r="O992" s="128"/>
      <c r="P992" s="128"/>
      <c r="Q992" s="128"/>
      <c r="R992" s="128"/>
      <c r="S992" s="128"/>
      <c r="T992" s="128"/>
      <c r="U992" s="128"/>
      <c r="V992" s="128"/>
      <c r="W992" s="128"/>
      <c r="X992" s="128"/>
      <c r="Y992" s="128"/>
      <c r="Z992" s="128"/>
    </row>
    <row r="993" spans="1:26" ht="14.4" x14ac:dyDescent="0.3">
      <c r="A993" s="128"/>
      <c r="B993" s="128"/>
      <c r="C993" s="128"/>
      <c r="D993" s="128"/>
      <c r="E993" s="128"/>
      <c r="F993" s="128"/>
      <c r="G993" s="128"/>
      <c r="H993" s="128"/>
      <c r="I993" s="128"/>
      <c r="J993" s="128"/>
      <c r="K993" s="128"/>
      <c r="L993" s="128"/>
      <c r="M993" s="128"/>
      <c r="N993" s="128"/>
      <c r="O993" s="128"/>
      <c r="P993" s="128"/>
      <c r="Q993" s="128"/>
      <c r="R993" s="128"/>
      <c r="S993" s="128"/>
      <c r="T993" s="128"/>
      <c r="U993" s="128"/>
      <c r="V993" s="128"/>
      <c r="W993" s="128"/>
      <c r="X993" s="128"/>
      <c r="Y993" s="128"/>
      <c r="Z993" s="128"/>
    </row>
    <row r="994" spans="1:26" ht="14.4" x14ac:dyDescent="0.3">
      <c r="A994" s="128"/>
      <c r="B994" s="128"/>
      <c r="C994" s="128"/>
      <c r="D994" s="128"/>
      <c r="E994" s="128"/>
      <c r="F994" s="128"/>
      <c r="G994" s="128"/>
      <c r="H994" s="128"/>
      <c r="I994" s="128"/>
      <c r="J994" s="128"/>
      <c r="K994" s="128"/>
      <c r="L994" s="128"/>
      <c r="M994" s="128"/>
      <c r="N994" s="128"/>
      <c r="O994" s="128"/>
      <c r="P994" s="128"/>
      <c r="Q994" s="128"/>
      <c r="R994" s="128"/>
      <c r="S994" s="128"/>
      <c r="T994" s="128"/>
      <c r="U994" s="128"/>
      <c r="V994" s="128"/>
      <c r="W994" s="128"/>
      <c r="X994" s="128"/>
      <c r="Y994" s="128"/>
      <c r="Z994" s="128"/>
    </row>
    <row r="995" spans="1:26" ht="14.4" x14ac:dyDescent="0.3">
      <c r="A995" s="128"/>
      <c r="B995" s="128"/>
      <c r="C995" s="128"/>
      <c r="D995" s="128"/>
      <c r="E995" s="128"/>
      <c r="F995" s="128"/>
      <c r="G995" s="128"/>
      <c r="H995" s="128"/>
      <c r="I995" s="128"/>
      <c r="J995" s="128"/>
      <c r="K995" s="128"/>
      <c r="L995" s="128"/>
      <c r="M995" s="128"/>
      <c r="N995" s="128"/>
      <c r="O995" s="128"/>
      <c r="P995" s="128"/>
      <c r="Q995" s="128"/>
      <c r="R995" s="128"/>
      <c r="S995" s="128"/>
      <c r="T995" s="128"/>
      <c r="U995" s="128"/>
      <c r="V995" s="128"/>
      <c r="W995" s="128"/>
      <c r="X995" s="128"/>
      <c r="Y995" s="128"/>
      <c r="Z995" s="128"/>
    </row>
    <row r="996" spans="1:26" ht="14.4" x14ac:dyDescent="0.3">
      <c r="A996" s="128"/>
      <c r="B996" s="128"/>
      <c r="C996" s="128"/>
      <c r="D996" s="128"/>
      <c r="E996" s="128"/>
      <c r="F996" s="128"/>
      <c r="G996" s="128"/>
      <c r="H996" s="128"/>
      <c r="I996" s="128"/>
      <c r="J996" s="128"/>
      <c r="K996" s="128"/>
      <c r="L996" s="128"/>
      <c r="M996" s="128"/>
      <c r="N996" s="128"/>
      <c r="O996" s="128"/>
      <c r="P996" s="128"/>
      <c r="Q996" s="128"/>
      <c r="R996" s="128"/>
      <c r="S996" s="128"/>
      <c r="T996" s="128"/>
      <c r="U996" s="128"/>
      <c r="V996" s="128"/>
      <c r="W996" s="128"/>
      <c r="X996" s="128"/>
      <c r="Y996" s="128"/>
      <c r="Z996" s="128"/>
    </row>
    <row r="997" spans="1:26" ht="14.4" x14ac:dyDescent="0.3">
      <c r="A997" s="128"/>
      <c r="B997" s="128"/>
      <c r="C997" s="128"/>
      <c r="D997" s="128"/>
      <c r="E997" s="128"/>
      <c r="F997" s="128"/>
      <c r="G997" s="128"/>
      <c r="H997" s="128"/>
      <c r="I997" s="128"/>
      <c r="J997" s="128"/>
      <c r="K997" s="128"/>
      <c r="L997" s="128"/>
      <c r="M997" s="128"/>
      <c r="N997" s="128"/>
      <c r="O997" s="128"/>
      <c r="P997" s="128"/>
      <c r="Q997" s="128"/>
      <c r="R997" s="128"/>
      <c r="S997" s="128"/>
      <c r="T997" s="128"/>
      <c r="U997" s="128"/>
      <c r="V997" s="128"/>
      <c r="W997" s="128"/>
      <c r="X997" s="128"/>
      <c r="Y997" s="128"/>
      <c r="Z997" s="128"/>
    </row>
    <row r="998" spans="1:26" ht="14.4" x14ac:dyDescent="0.3">
      <c r="A998" s="128"/>
      <c r="B998" s="128"/>
      <c r="C998" s="128"/>
      <c r="D998" s="128"/>
      <c r="E998" s="128"/>
      <c r="F998" s="128"/>
      <c r="G998" s="128"/>
      <c r="H998" s="128"/>
      <c r="I998" s="128"/>
      <c r="J998" s="128"/>
      <c r="K998" s="128"/>
      <c r="L998" s="128"/>
      <c r="M998" s="128"/>
      <c r="N998" s="128"/>
      <c r="O998" s="128"/>
      <c r="P998" s="128"/>
      <c r="Q998" s="128"/>
      <c r="R998" s="128"/>
      <c r="S998" s="128"/>
      <c r="T998" s="128"/>
      <c r="U998" s="128"/>
      <c r="V998" s="128"/>
      <c r="W998" s="128"/>
      <c r="X998" s="128"/>
      <c r="Y998" s="128"/>
      <c r="Z998" s="128"/>
    </row>
    <row r="999" spans="1:26" ht="14.4" x14ac:dyDescent="0.3">
      <c r="A999" s="128"/>
      <c r="B999" s="128"/>
      <c r="C999" s="128"/>
      <c r="D999" s="128"/>
      <c r="E999" s="128"/>
      <c r="F999" s="128"/>
      <c r="G999" s="128"/>
      <c r="H999" s="128"/>
      <c r="I999" s="128"/>
      <c r="J999" s="128"/>
      <c r="K999" s="128"/>
      <c r="L999" s="128"/>
      <c r="M999" s="128"/>
      <c r="N999" s="128"/>
      <c r="O999" s="128"/>
      <c r="P999" s="128"/>
      <c r="Q999" s="128"/>
      <c r="R999" s="128"/>
      <c r="S999" s="128"/>
      <c r="T999" s="128"/>
      <c r="U999" s="128"/>
      <c r="V999" s="128"/>
      <c r="W999" s="128"/>
      <c r="X999" s="128"/>
      <c r="Y999" s="128"/>
      <c r="Z999" s="128"/>
    </row>
    <row r="1000" spans="1:26" ht="14.4" x14ac:dyDescent="0.3">
      <c r="A1000" s="128"/>
      <c r="B1000" s="128"/>
      <c r="C1000" s="128"/>
      <c r="D1000" s="128"/>
      <c r="E1000" s="128"/>
      <c r="F1000" s="128"/>
      <c r="G1000" s="128"/>
      <c r="H1000" s="128"/>
      <c r="I1000" s="128"/>
      <c r="J1000" s="128"/>
      <c r="K1000" s="128"/>
      <c r="L1000" s="128"/>
      <c r="M1000" s="128"/>
      <c r="N1000" s="128"/>
      <c r="O1000" s="128"/>
      <c r="P1000" s="128"/>
      <c r="Q1000" s="128"/>
      <c r="R1000" s="128"/>
      <c r="S1000" s="128"/>
      <c r="T1000" s="128"/>
      <c r="U1000" s="128"/>
      <c r="V1000" s="128"/>
      <c r="W1000" s="128"/>
      <c r="X1000" s="128"/>
      <c r="Y1000" s="128"/>
      <c r="Z1000" s="128"/>
    </row>
  </sheetData>
  <mergeCells count="17">
    <mergeCell ref="F18:G18"/>
    <mergeCell ref="H18:I18"/>
    <mergeCell ref="F20:G20"/>
    <mergeCell ref="F21:G21"/>
    <mergeCell ref="B18:C18"/>
    <mergeCell ref="B19:C19"/>
    <mergeCell ref="F19:G19"/>
    <mergeCell ref="H19:I19"/>
    <mergeCell ref="B20:C20"/>
    <mergeCell ref="H20:I20"/>
    <mergeCell ref="B21:C21"/>
    <mergeCell ref="H21:I21"/>
    <mergeCell ref="B2:M2"/>
    <mergeCell ref="D4:E4"/>
    <mergeCell ref="F4:G4"/>
    <mergeCell ref="H4:I4"/>
    <mergeCell ref="J4:M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1. BRIEFING</vt:lpstr>
      <vt:lpstr>2. LEV QNT</vt:lpstr>
      <vt:lpstr>3. CPU</vt:lpstr>
      <vt:lpstr>4. PLAN ORÇA</vt:lpstr>
      <vt:lpstr>4. CUSTO IND</vt:lpstr>
      <vt:lpstr>DIM EQP</vt:lpstr>
      <vt:lpstr>0. P. VENDA</vt:lpstr>
      <vt:lpstr>PLANEJ FIN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DANYLLO</dc:creator>
  <cp:lastModifiedBy>Danyllo Santana</cp:lastModifiedBy>
  <dcterms:created xsi:type="dcterms:W3CDTF">2024-05-04T12:00:11Z</dcterms:created>
  <dcterms:modified xsi:type="dcterms:W3CDTF">2024-05-04T12:00:12Z</dcterms:modified>
</cp:coreProperties>
</file>